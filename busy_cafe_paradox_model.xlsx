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Simulator" sheetId="2" state="visible" r:id="rId4"/>
    <sheet name="Assumptions" sheetId="3" state="visible" r:id="rId5"/>
    <sheet name="Raw_Data" sheetId="4" state="visible" r:id="rId6"/>
    <sheet name="Weekly_Trend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<sst xmlns="http://schemas.openxmlformats.org/spreadsheetml/2006/main" count="141" uniqueCount="118">
  <si>
    <t xml:space="preserve">The Busy Café Paradox: Excel Model</t>
  </si>
  <si>
    <t xml:space="preserve">Pour Decision Café is fictional. All figures are illustrative, not real café data.</t>
  </si>
  <si>
    <t xml:space="preserve">THE STORY</t>
  </si>
  <si>
    <t xml:space="preserve">Over 13 weeks, orders rose about 14% while average daily profit fell about 28%. Why?</t>
  </si>
  <si>
    <t xml:space="preserve">HOW TO PLAY</t>
  </si>
  <si>
    <t xml:space="preserve">1. Go to the Simulator tab.</t>
  </si>
  <si>
    <t xml:space="preserve">2. Pick a scenario from the dropdown (cell B4), or choose Custom and edit the yellow cells in column C.</t>
  </si>
  <si>
    <t xml:space="preserve">3. Read the Scoreboard and the Advisor line. Everything recalculates instantly.</t>
  </si>
  <si>
    <t xml:space="preserve">4. Open Weekly_Trend to see the 13-week history, and Raw_Data for the daily records.</t>
  </si>
  <si>
    <t xml:space="preserve">TABS</t>
  </si>
  <si>
    <t xml:space="preserve">Simulator: levers, baseline vs current, plain-English advisor, step-by-step workings.</t>
  </si>
  <si>
    <t xml:space="preserve">Weekly_Trend: weekly averages (formulas on Raw_Data) with a chart.</t>
  </si>
  <si>
    <t xml:space="preserve">Raw_Data: 91 days of fictional daily records. Input columns are values; revenue to profit are formulas.</t>
  </si>
  <si>
    <t xml:space="preserve">Assumptions: every constant and the scenario settings. Edit them to run your own what-ifs.</t>
  </si>
  <si>
    <t xml:space="preserve">COLOR LEGEND</t>
  </si>
  <si>
    <t xml:space="preserve">Blue text on yellow = cells you can change. Black = formulas. Green = links to other tabs.</t>
  </si>
  <si>
    <t xml:space="preserve">NOTES</t>
  </si>
  <si>
    <t xml:space="preserve">Raw data was generated with a fixed random seed to mimic a café getting busier while margins erode. It is not from a real business.</t>
  </si>
  <si>
    <t xml:space="preserve">The Advisor line is a formula that reads the results. No AI model is connected inside this workbook.</t>
  </si>
  <si>
    <t xml:space="preserve">Pour Decision Café: Simulator</t>
  </si>
  <si>
    <t xml:space="preserve">Illustrative figures only, not real café data. Edit yellow cells.</t>
  </si>
  <si>
    <t xml:space="preserve">Scenario</t>
  </si>
  <si>
    <t xml:space="preserve">Custom</t>
  </si>
  <si>
    <t xml:space="preserve">Custom uses column C. Other choices use the settings on the Assumptions tab.</t>
  </si>
  <si>
    <t xml:space="preserve">Lever</t>
  </si>
  <si>
    <t xml:space="preserve">Baseline</t>
  </si>
  <si>
    <t xml:space="preserve">Your setting (Custom)</t>
  </si>
  <si>
    <t xml:space="preserve">Active setting</t>
  </si>
  <si>
    <t xml:space="preserve">Allowed range</t>
  </si>
  <si>
    <t xml:space="preserve">Menu price ($)</t>
  </si>
  <si>
    <t xml:space="preserve">4 to 9</t>
  </si>
  <si>
    <t xml:space="preserve">Staff hours per day</t>
  </si>
  <si>
    <t xml:space="preserve">24 to 100</t>
  </si>
  <si>
    <t xml:space="preserve">Food thrown away (%)</t>
  </si>
  <si>
    <t xml:space="preserve">0.02 to 0.3</t>
  </si>
  <si>
    <t xml:space="preserve">Longest line allowed (min)</t>
  </si>
  <si>
    <t xml:space="preserve">3 to 15</t>
  </si>
  <si>
    <t xml:space="preserve">Scoreboard</t>
  </si>
  <si>
    <t xml:space="preserve">Now</t>
  </si>
  <si>
    <t xml:space="preserve">Change</t>
  </si>
  <si>
    <t xml:space="preserve">Better when</t>
  </si>
  <si>
    <t xml:space="preserve">Daily revenue ($)</t>
  </si>
  <si>
    <t xml:space="preserve">Higher</t>
  </si>
  <si>
    <t xml:space="preserve">Operating profit ($)</t>
  </si>
  <si>
    <t xml:space="preserve">Guest happiness (0-100)</t>
  </si>
  <si>
    <t xml:space="preserve">Orders per day</t>
  </si>
  <si>
    <t xml:space="preserve">Food waste cost ($)</t>
  </si>
  <si>
    <t xml:space="preserve">Lower</t>
  </si>
  <si>
    <t xml:space="preserve">Average wait (min)</t>
  </si>
  <si>
    <t xml:space="preserve">Advisor (formula-based, not AI)</t>
  </si>
  <si>
    <t xml:space="preserve">Workings (same formulas for baseline and current)</t>
  </si>
  <si>
    <t xml:space="preserve">Step</t>
  </si>
  <si>
    <t xml:space="preserve">Current</t>
  </si>
  <si>
    <t xml:space="preserve">How it works</t>
  </si>
  <si>
    <t xml:space="preserve">Staff hours</t>
  </si>
  <si>
    <t xml:space="preserve">Waste share</t>
  </si>
  <si>
    <t xml:space="preserve">Line limit (min)</t>
  </si>
  <si>
    <t xml:space="preserve">Capacity (orders/day)</t>
  </si>
  <si>
    <t xml:space="preserve">Staff hours x orders per staff hour</t>
  </si>
  <si>
    <t xml:space="preserve">Demand at this price</t>
  </si>
  <si>
    <t xml:space="preserve">Higher price, fewer guests</t>
  </si>
  <si>
    <t xml:space="preserve">Demand vs capacity</t>
  </si>
  <si>
    <t xml:space="preserve">Natural wait (min)</t>
  </si>
  <si>
    <t xml:space="preserve">Grows fast as demand nears capacity</t>
  </si>
  <si>
    <t xml:space="preserve">Actual wait (min)</t>
  </si>
  <si>
    <t xml:space="preserve">Line limit caps the wait</t>
  </si>
  <si>
    <t xml:space="preserve">Guests lost to line limit</t>
  </si>
  <si>
    <t xml:space="preserve">Share turned away if wait exceeds limit</t>
  </si>
  <si>
    <t xml:space="preserve">Lost to stock-outs</t>
  </si>
  <si>
    <t xml:space="preserve">Waste below 10% means running out</t>
  </si>
  <si>
    <t xml:space="preserve">Guest happiness</t>
  </si>
  <si>
    <t xml:space="preserve">88 minus wait, price and stock-out penalties</t>
  </si>
  <si>
    <t xml:space="preserve">Repeat-visit multiplier</t>
  </si>
  <si>
    <t xml:space="preserve">Orders served</t>
  </si>
  <si>
    <t xml:space="preserve">Demand x repeat multiplier, capped by staff, less lost guests</t>
  </si>
  <si>
    <t xml:space="preserve">Revenue ($)</t>
  </si>
  <si>
    <t xml:space="preserve">Wages ($)</t>
  </si>
  <si>
    <t xml:space="preserve">Food used ($)</t>
  </si>
  <si>
    <t xml:space="preserve">Food wasted ($)</t>
  </si>
  <si>
    <t xml:space="preserve">Fees + rent ($)</t>
  </si>
  <si>
    <t xml:space="preserve">Profit per order ($)</t>
  </si>
  <si>
    <t xml:space="preserve">Assumptions &amp; scenario settings</t>
  </si>
  <si>
    <t xml:space="preserve">Blue = editable input. Fictional, for teaching.</t>
  </si>
  <si>
    <t xml:space="preserve">Assumption</t>
  </si>
  <si>
    <t xml:space="preserve">Value</t>
  </si>
  <si>
    <t xml:space="preserve">Note</t>
  </si>
  <si>
    <t xml:space="preserve">Baseline demand (orders/day at reference price)</t>
  </si>
  <si>
    <t xml:space="preserve">Fictional</t>
  </si>
  <si>
    <t xml:space="preserve">Reference price ($)</t>
  </si>
  <si>
    <t xml:space="preserve">Price elasticity</t>
  </si>
  <si>
    <t xml:space="preserve">Demand = D x (ref price / price)^elasticity</t>
  </si>
  <si>
    <t xml:space="preserve">Orders per staff hour</t>
  </si>
  <si>
    <t xml:space="preserve">Capacity = hours x this</t>
  </si>
  <si>
    <t xml:space="preserve">Hourly wage, fully loaded ($)</t>
  </si>
  <si>
    <t xml:space="preserve">Food cost per order served ($)</t>
  </si>
  <si>
    <t xml:space="preserve">Card fees (% of revenue)</t>
  </si>
  <si>
    <t xml:space="preserve">Rent &amp; utilities per day ($)</t>
  </si>
  <si>
    <t xml:space="preserve">Scenario settings</t>
  </si>
  <si>
    <t xml:space="preserve">Setting</t>
  </si>
  <si>
    <t xml:space="preserve">Grow Sales</t>
  </si>
  <si>
    <t xml:space="preserve">Protect Profit</t>
  </si>
  <si>
    <t xml:space="preserve">Delight Customers</t>
  </si>
  <si>
    <t xml:space="preserve">Date</t>
  </si>
  <si>
    <t xml:space="preserve">Orders</t>
  </si>
  <si>
    <t xml:space="preserve">Avg price ($)</t>
  </si>
  <si>
    <t xml:space="preserve">Food waste (%)</t>
  </si>
  <si>
    <t xml:space="preserve">Avg wait (min)</t>
  </si>
  <si>
    <t xml:space="preserve">Happiness (0-100)</t>
  </si>
  <si>
    <t xml:space="preserve">Food purchased ($)</t>
  </si>
  <si>
    <t xml:space="preserve">Card fees ($)</t>
  </si>
  <si>
    <t xml:space="preserve">13-week trend (daily averages per week)</t>
  </si>
  <si>
    <t xml:space="preserve">Formulas on Raw_Data. Illustrative data.</t>
  </si>
  <si>
    <t xml:space="preserve">Week starting</t>
  </si>
  <si>
    <t xml:space="preserve">Orders/day</t>
  </si>
  <si>
    <t xml:space="preserve">Profit/day ($)</t>
  </si>
  <si>
    <t xml:space="preserve">Happiness</t>
  </si>
  <si>
    <t xml:space="preserve">Waste cost/day ($)</t>
  </si>
  <si>
    <t xml:space="preserve">Change, first to last week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</si>
</sst>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\$0.00"/>
    <numFmt numFmtId="166" formatCode="0"/>
    <numFmt numFmtId="167" formatCode="0%"/>
    <numFmt numFmtId="168" formatCode="\$#,##0;&quot;($&quot;#,##0\);\-"/>
    <numFmt numFmtId="169" formatCode="0.0"/>
    <numFmt numFmtId="170" formatCode="0.00"/>
    <numFmt numFmtId="171" formatCode="0.0%"/>
    <numFmt numFmtId="172" formatCode="0.000"/>
    <numFmt numFmtId="173" formatCode="\$#,##0"/>
    <numFmt numFmtId="174" formatCode="yyyy\-mm\-dd"/>
    <numFmt numFmtId="175" formatCode="d\ mmm"/>
    <numFmt numFmtId="176" formatCode="\+0%;\-0%;0%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4302B"/>
      <name val="Arial"/>
      <family val="0"/>
      <charset val="1"/>
    </font>
    <font>
      <i val="true"/>
      <sz val="10"/>
      <color rgb="FF58706A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sz val="10"/>
      <color rgb="FF58706A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008000"/>
      <name val="Arial"/>
      <family val="0"/>
      <charset val="1"/>
    </font>
    <font>
      <b val="true"/>
      <sz val="12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80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4302B"/>
        <bgColor rgb="FF003300"/>
      </patternFill>
    </fill>
    <fill>
      <patternFill patternType="solid">
        <fgColor rgb="FFEAF2E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FE0D6"/>
      </left>
      <right style="thin">
        <color rgb="FFCFE0D6"/>
      </right>
      <top style="thin">
        <color rgb="FFCFE0D6"/>
      </top>
      <bottom style="thin">
        <color rgb="FFCFE0D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C6EFCE"/>
        </patternFill>
      </fill>
    </dxf>
    <dxf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FE0D6"/>
      <rgbColor rgb="FF878787"/>
      <rgbColor rgb="FF9999FF"/>
      <rgbColor rgb="FFBE4B48"/>
      <rgbColor rgb="FFEAF2E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4A7EBB"/>
      <rgbColor rgb="FF33CCCC"/>
      <rgbColor rgb="FF99CC00"/>
      <rgbColor rgb="FFFFCC00"/>
      <rgbColor rgb="FFFF9900"/>
      <rgbColor rgb="FFFF6600"/>
      <rgbColor rgb="FF58706A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4302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Orders up, profit down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Weekly_Trend!B4</c:f>
              <c:strCache>
                <c:ptCount val="1"/>
                <c:pt idx="0">
                  <c:v>Orders/day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Weekly_Trend!$A$5:$A$17</c:f>
              <c:strCache>
                <c:ptCount val="13"/>
                <c:pt idx="0">
                  <c:v>1 Jul</c:v>
                </c:pt>
                <c:pt idx="1">
                  <c:v>8 Jul</c:v>
                </c:pt>
                <c:pt idx="2">
                  <c:v>15 Jul</c:v>
                </c:pt>
                <c:pt idx="3">
                  <c:v>22 Jul</c:v>
                </c:pt>
                <c:pt idx="4">
                  <c:v>29 Jul</c:v>
                </c:pt>
                <c:pt idx="5">
                  <c:v>5 Aug</c:v>
                </c:pt>
                <c:pt idx="6">
                  <c:v>12 Aug</c:v>
                </c:pt>
                <c:pt idx="7">
                  <c:v>19 Aug</c:v>
                </c:pt>
                <c:pt idx="8">
                  <c:v>26 Aug</c:v>
                </c:pt>
                <c:pt idx="9">
                  <c:v>2 Sep</c:v>
                </c:pt>
                <c:pt idx="10">
                  <c:v>9 Sep</c:v>
                </c:pt>
                <c:pt idx="11">
                  <c:v>16 Sep</c:v>
                </c:pt>
                <c:pt idx="12">
                  <c:v>23 Sep</c:v>
                </c:pt>
              </c:strCache>
            </c:strRef>
          </c:cat>
          <c:val>
            <c:numRef>
              <c:f>Weekly_Trend!$B$5:$B$17</c:f>
              <c:numCache>
                <c:formatCode>0</c:formatCode>
                <c:ptCount val="13"/>
                <c:pt idx="0">
                  <c:v>414.428571428571</c:v>
                </c:pt>
                <c:pt idx="1">
                  <c:v>416.142857142857</c:v>
                </c:pt>
                <c:pt idx="2">
                  <c:v>423.142857142857</c:v>
                </c:pt>
                <c:pt idx="3">
                  <c:v>426.142857142857</c:v>
                </c:pt>
                <c:pt idx="4">
                  <c:v>434.285714285714</c:v>
                </c:pt>
                <c:pt idx="5">
                  <c:v>433</c:v>
                </c:pt>
                <c:pt idx="6">
                  <c:v>440.857142857143</c:v>
                </c:pt>
                <c:pt idx="7">
                  <c:v>446.571428571429</c:v>
                </c:pt>
                <c:pt idx="8">
                  <c:v>453.428571428571</c:v>
                </c:pt>
                <c:pt idx="9">
                  <c:v>457.857142857143</c:v>
                </c:pt>
                <c:pt idx="10">
                  <c:v>466.428571428571</c:v>
                </c:pt>
                <c:pt idx="11">
                  <c:v>468</c:v>
                </c:pt>
                <c:pt idx="12">
                  <c:v>472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13755792"/>
        <c:axId val="85343077"/>
      </c:lineChart>
      <c:lineChart>
        <c:grouping val="standard"/>
        <c:varyColors val="0"/>
        <c:ser>
          <c:idx val="1"/>
          <c:order val="1"/>
          <c:tx>
            <c:strRef>
              <c:f>Weekly_Trend!C4</c:f>
              <c:strCache>
                <c:ptCount val="1"/>
                <c:pt idx="0">
                  <c:v>Profit/day ($)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Weekly_Trend!$A$5:$A$17</c:f>
              <c:strCache>
                <c:ptCount val="13"/>
                <c:pt idx="0">
                  <c:v>1 Jul</c:v>
                </c:pt>
                <c:pt idx="1">
                  <c:v>8 Jul</c:v>
                </c:pt>
                <c:pt idx="2">
                  <c:v>15 Jul</c:v>
                </c:pt>
                <c:pt idx="3">
                  <c:v>22 Jul</c:v>
                </c:pt>
                <c:pt idx="4">
                  <c:v>29 Jul</c:v>
                </c:pt>
                <c:pt idx="5">
                  <c:v>5 Aug</c:v>
                </c:pt>
                <c:pt idx="6">
                  <c:v>12 Aug</c:v>
                </c:pt>
                <c:pt idx="7">
                  <c:v>19 Aug</c:v>
                </c:pt>
                <c:pt idx="8">
                  <c:v>26 Aug</c:v>
                </c:pt>
                <c:pt idx="9">
                  <c:v>2 Sep</c:v>
                </c:pt>
                <c:pt idx="10">
                  <c:v>9 Sep</c:v>
                </c:pt>
                <c:pt idx="11">
                  <c:v>16 Sep</c:v>
                </c:pt>
                <c:pt idx="12">
                  <c:v>23 Sep</c:v>
                </c:pt>
              </c:strCache>
            </c:strRef>
          </c:cat>
          <c:val>
            <c:numRef>
              <c:f>Weekly_Trend!$C$5:$C$17</c:f>
              <c:numCache>
                <c:formatCode>\$#,##0;"($"#,##0\);\-</c:formatCode>
                <c:ptCount val="13"/>
                <c:pt idx="0">
                  <c:v>289.098044871055</c:v>
                </c:pt>
                <c:pt idx="1">
                  <c:v>281.227173728583</c:v>
                </c:pt>
                <c:pt idx="2">
                  <c:v>284.899867213964</c:v>
                </c:pt>
                <c:pt idx="3">
                  <c:v>275.798830740075</c:v>
                </c:pt>
                <c:pt idx="4">
                  <c:v>268.654606420591</c:v>
                </c:pt>
                <c:pt idx="5">
                  <c:v>251.101152404373</c:v>
                </c:pt>
                <c:pt idx="6">
                  <c:v>238.164461865645</c:v>
                </c:pt>
                <c:pt idx="7">
                  <c:v>241.848599508437</c:v>
                </c:pt>
                <c:pt idx="8">
                  <c:v>237.299368450846</c:v>
                </c:pt>
                <c:pt idx="9">
                  <c:v>228.422498901132</c:v>
                </c:pt>
                <c:pt idx="10">
                  <c:v>235.091468817455</c:v>
                </c:pt>
                <c:pt idx="11">
                  <c:v>200.916437345477</c:v>
                </c:pt>
                <c:pt idx="12">
                  <c:v>208.310248652046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55575464"/>
        <c:axId val="90576849"/>
      </c:lineChart>
      <c:catAx>
        <c:axId val="13755792"/>
        <c:scaling>
          <c:orientation val="minMax"/>
        </c:scaling>
        <c:delete val="0"/>
        <c:axPos val="b"/>
        <c:numFmt formatCode="d\ mm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5343077"/>
        <c:crosses val="autoZero"/>
        <c:auto val="1"/>
        <c:lblAlgn val="ctr"/>
        <c:lblOffset val="100"/>
        <c:noMultiLvlLbl val="0"/>
      </c:catAx>
      <c:valAx>
        <c:axId val="8534307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Orders/day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3755792"/>
        <c:crosses val="autoZero"/>
        <c:crossBetween val="between"/>
      </c:valAx>
      <c:catAx>
        <c:axId val="55575464"/>
        <c:scaling>
          <c:orientation val="minMax"/>
        </c:scaling>
        <c:delete val="0"/>
        <c:axPos val="t"/>
        <c:numFmt formatCode="d\ mm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0576849"/>
        <c:crosses val="autoZero"/>
        <c:auto val="1"/>
        <c:lblAlgn val="ctr"/>
        <c:lblOffset val="100"/>
        <c:noMultiLvlLbl val="0"/>
      </c:catAx>
      <c:valAx>
        <c:axId val="90576849"/>
        <c:scaling>
          <c:orientation val="minMax"/>
        </c:scaling>
        <c:delete val="0"/>
        <c:axPos val="r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Profit/day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;&quot;($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5575464"/>
        <c:crosses val="max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19</xdr:row>
      <xdr:rowOff>131040</xdr:rowOff>
    </xdr:from>
    <xdr:to>
      <xdr:col>5</xdr:col>
      <xdr:colOff>136080</xdr:colOff>
      <xdr:row>34</xdr:row>
      <xdr:rowOff>153000</xdr:rowOff>
    </xdr:to>
    <xdr:graphicFrame>
      <xdr:nvGraphicFramePr>
        <xdr:cNvPr id="0" name="Chart 1"/>
        <xdr:cNvGraphicFramePr/>
      </xdr:nvGraphicFramePr>
      <xdr:xfrm>
        <a:off x="0" y="4000680"/>
        <a:ext cx="64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</row>
    <row r="6" customFormat="false" ht="15" hidden="false" customHeight="false" outlineLevel="0" collapsed="false">
      <c r="A6" s="4"/>
    </row>
    <row r="7" customFormat="false" ht="15" hidden="false" customHeight="false" outlineLevel="0" collapsed="false">
      <c r="A7" s="3" t="s">
        <v>4</v>
      </c>
    </row>
    <row r="8" customFormat="false" ht="15" hidden="false" customHeight="false" outlineLevel="0" collapsed="false">
      <c r="A8" s="4" t="s">
        <v>5</v>
      </c>
    </row>
    <row r="9" customFormat="false" ht="15" hidden="false" customHeight="false" outlineLevel="0" collapsed="false">
      <c r="A9" s="4" t="s">
        <v>6</v>
      </c>
    </row>
    <row r="10" customFormat="false" ht="15" hidden="false" customHeight="false" outlineLevel="0" collapsed="false">
      <c r="A10" s="4" t="s">
        <v>7</v>
      </c>
    </row>
    <row r="11" customFormat="false" ht="15" hidden="false" customHeight="false" outlineLevel="0" collapsed="false">
      <c r="A11" s="4" t="s">
        <v>8</v>
      </c>
    </row>
    <row r="12" customFormat="false" ht="15" hidden="false" customHeight="false" outlineLevel="0" collapsed="false">
      <c r="A12" s="4"/>
    </row>
    <row r="13" customFormat="false" ht="15" hidden="false" customHeight="false" outlineLevel="0" collapsed="false">
      <c r="A13" s="3" t="s">
        <v>9</v>
      </c>
    </row>
    <row r="14" customFormat="false" ht="15" hidden="false" customHeight="false" outlineLevel="0" collapsed="false">
      <c r="A14" s="4" t="s">
        <v>10</v>
      </c>
    </row>
    <row r="15" customFormat="false" ht="15" hidden="false" customHeight="false" outlineLevel="0" collapsed="false">
      <c r="A15" s="4" t="s">
        <v>11</v>
      </c>
    </row>
    <row r="16" customFormat="false" ht="15" hidden="false" customHeight="false" outlineLevel="0" collapsed="false">
      <c r="A16" s="4" t="s">
        <v>12</v>
      </c>
    </row>
    <row r="17" customFormat="false" ht="15" hidden="false" customHeight="false" outlineLevel="0" collapsed="false">
      <c r="A17" s="4" t="s">
        <v>13</v>
      </c>
    </row>
    <row r="18" customFormat="false" ht="15" hidden="false" customHeight="false" outlineLevel="0" collapsed="false">
      <c r="A18" s="4"/>
    </row>
    <row r="19" customFormat="false" ht="15" hidden="false" customHeight="false" outlineLevel="0" collapsed="false">
      <c r="A19" s="3" t="s">
        <v>14</v>
      </c>
    </row>
    <row r="20" customFormat="false" ht="15" hidden="false" customHeight="false" outlineLevel="0" collapsed="false">
      <c r="A20" s="4" t="s">
        <v>15</v>
      </c>
    </row>
    <row r="21" customFormat="false" ht="15" hidden="false" customHeight="false" outlineLevel="0" collapsed="false">
      <c r="A21" s="4"/>
    </row>
    <row r="22" customFormat="false" ht="15" hidden="false" customHeight="false" outlineLevel="0" collapsed="false">
      <c r="A22" s="3" t="s">
        <v>16</v>
      </c>
    </row>
    <row r="23" customFormat="false" ht="26.85" hidden="false" customHeight="false" outlineLevel="0" collapsed="false">
      <c r="A23" s="4" t="s">
        <v>17</v>
      </c>
    </row>
    <row r="24" customFormat="false" ht="15" hidden="false" customHeight="false" outlineLevel="0" collapsed="false">
      <c r="A24" s="4" t="s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6"/>
    <col collapsed="false" customWidth="true" hidden="false" outlineLevel="0" max="3" min="3" style="0" width="22"/>
    <col collapsed="false" customWidth="true" hidden="false" outlineLevel="0" max="4" min="4" style="0" width="16"/>
    <col collapsed="false" customWidth="true" hidden="false" outlineLevel="0" max="5" min="5" style="0" width="34"/>
  </cols>
  <sheetData>
    <row r="1" customFormat="false" ht="19.7" hidden="false" customHeight="false" outlineLevel="0" collapsed="false">
      <c r="A1" s="1" t="s">
        <v>19</v>
      </c>
    </row>
    <row r="2" customFormat="false" ht="15" hidden="false" customHeight="false" outlineLevel="0" collapsed="false">
      <c r="A2" s="2" t="s">
        <v>20</v>
      </c>
    </row>
    <row r="4" customFormat="false" ht="15" hidden="false" customHeight="false" outlineLevel="0" collapsed="false">
      <c r="A4" s="5" t="s">
        <v>21</v>
      </c>
      <c r="B4" s="6" t="s">
        <v>22</v>
      </c>
      <c r="C4" s="7" t="s">
        <v>23</v>
      </c>
    </row>
    <row r="6" customFormat="false" ht="26.85" hidden="false" customHeight="false" outlineLevel="0" collapsed="false">
      <c r="A6" s="8" t="s">
        <v>24</v>
      </c>
      <c r="B6" s="8" t="s">
        <v>25</v>
      </c>
      <c r="C6" s="8" t="s">
        <v>26</v>
      </c>
      <c r="D6" s="8" t="s">
        <v>27</v>
      </c>
      <c r="E6" s="8" t="s">
        <v>28</v>
      </c>
    </row>
    <row r="7" customFormat="false" ht="15" hidden="false" customHeight="false" outlineLevel="0" collapsed="false">
      <c r="A7" s="9" t="s">
        <v>29</v>
      </c>
      <c r="B7" s="10" t="n">
        <v>6</v>
      </c>
      <c r="C7" s="11" t="n">
        <v>6</v>
      </c>
      <c r="D7" s="12" t="n">
        <f aca="false">MAX(4,MIN(9,IF($B$4="Custom",C7,INDEX(Assumptions!$B$15:$D$15,MATCH($B$4,Assumptions!$B$14:$D$14,0)))))</f>
        <v>6</v>
      </c>
      <c r="E7" s="7" t="s">
        <v>30</v>
      </c>
    </row>
    <row r="8" customFormat="false" ht="15" hidden="false" customHeight="false" outlineLevel="0" collapsed="false">
      <c r="A8" s="9" t="s">
        <v>31</v>
      </c>
      <c r="B8" s="13" t="n">
        <v>52</v>
      </c>
      <c r="C8" s="14" t="n">
        <v>52</v>
      </c>
      <c r="D8" s="15" t="n">
        <f aca="false">MAX(24,MIN(100,IF($B$4="Custom",C8,INDEX(Assumptions!$B$16:$D$16,MATCH($B$4,Assumptions!$B$14:$D$14,0)))))</f>
        <v>52</v>
      </c>
      <c r="E8" s="7" t="s">
        <v>32</v>
      </c>
    </row>
    <row r="9" customFormat="false" ht="15" hidden="false" customHeight="false" outlineLevel="0" collapsed="false">
      <c r="A9" s="9" t="s">
        <v>33</v>
      </c>
      <c r="B9" s="16" t="n">
        <v>0.14</v>
      </c>
      <c r="C9" s="17" t="n">
        <v>0.14</v>
      </c>
      <c r="D9" s="18" t="n">
        <f aca="false">MAX(0.02,MIN(0.3,IF($B$4="Custom",C9,INDEX(Assumptions!$B$17:$D$17,MATCH($B$4,Assumptions!$B$14:$D$14,0)))))</f>
        <v>0.14</v>
      </c>
      <c r="E9" s="7" t="s">
        <v>34</v>
      </c>
    </row>
    <row r="10" customFormat="false" ht="15" hidden="false" customHeight="false" outlineLevel="0" collapsed="false">
      <c r="A10" s="9" t="s">
        <v>35</v>
      </c>
      <c r="B10" s="13" t="n">
        <v>15</v>
      </c>
      <c r="C10" s="14" t="n">
        <v>15</v>
      </c>
      <c r="D10" s="15" t="n">
        <f aca="false">MAX(3,MIN(15,IF($B$4="Custom",C10,INDEX(Assumptions!$B$18:$D$18,MATCH($B$4,Assumptions!$B$14:$D$14,0)))))</f>
        <v>15</v>
      </c>
      <c r="E10" s="7" t="s">
        <v>36</v>
      </c>
    </row>
    <row r="12" customFormat="false" ht="15" hidden="false" customHeight="false" outlineLevel="0" collapsed="false">
      <c r="A12" s="8" t="s">
        <v>37</v>
      </c>
      <c r="B12" s="8" t="s">
        <v>25</v>
      </c>
      <c r="C12" s="8" t="s">
        <v>38</v>
      </c>
      <c r="D12" s="8" t="s">
        <v>39</v>
      </c>
      <c r="E12" s="8" t="s">
        <v>40</v>
      </c>
    </row>
    <row r="13" customFormat="false" ht="15" hidden="false" customHeight="false" outlineLevel="0" collapsed="false">
      <c r="A13" s="5" t="s">
        <v>41</v>
      </c>
      <c r="B13" s="19" t="n">
        <f aca="false">B43</f>
        <v>2802</v>
      </c>
      <c r="C13" s="20" t="n">
        <f aca="false">C43</f>
        <v>2802</v>
      </c>
      <c r="D13" s="20" t="n">
        <f aca="false">C13-B13</f>
        <v>0</v>
      </c>
      <c r="E13" s="7" t="s">
        <v>42</v>
      </c>
    </row>
    <row r="14" customFormat="false" ht="15" hidden="false" customHeight="false" outlineLevel="0" collapsed="false">
      <c r="A14" s="5" t="s">
        <v>43</v>
      </c>
      <c r="B14" s="19" t="n">
        <f aca="false">B48</f>
        <v>186.253953488372</v>
      </c>
      <c r="C14" s="20" t="n">
        <f aca="false">C48</f>
        <v>186.253953488372</v>
      </c>
      <c r="D14" s="20" t="n">
        <f aca="false">C14-B14</f>
        <v>0</v>
      </c>
      <c r="E14" s="7" t="s">
        <v>42</v>
      </c>
    </row>
    <row r="15" customFormat="false" ht="15" hidden="false" customHeight="false" outlineLevel="0" collapsed="false">
      <c r="A15" s="5" t="s">
        <v>44</v>
      </c>
      <c r="B15" s="21" t="n">
        <f aca="false">B40</f>
        <v>78.4938908170232</v>
      </c>
      <c r="C15" s="22" t="n">
        <f aca="false">C40</f>
        <v>78.4938908170232</v>
      </c>
      <c r="D15" s="22" t="n">
        <f aca="false">C15-B15</f>
        <v>0</v>
      </c>
      <c r="E15" s="7" t="s">
        <v>42</v>
      </c>
    </row>
    <row r="16" customFormat="false" ht="15" hidden="false" customHeight="false" outlineLevel="0" collapsed="false">
      <c r="A16" s="5" t="s">
        <v>45</v>
      </c>
      <c r="B16" s="21" t="n">
        <f aca="false">B42</f>
        <v>467</v>
      </c>
      <c r="C16" s="22" t="n">
        <f aca="false">C42</f>
        <v>467</v>
      </c>
      <c r="D16" s="22" t="n">
        <f aca="false">C16-B16</f>
        <v>0</v>
      </c>
      <c r="E16" s="7" t="s">
        <v>42</v>
      </c>
    </row>
    <row r="17" customFormat="false" ht="15" hidden="false" customHeight="false" outlineLevel="0" collapsed="false">
      <c r="A17" s="5" t="s">
        <v>46</v>
      </c>
      <c r="B17" s="19" t="n">
        <f aca="false">B46</f>
        <v>117.836046511628</v>
      </c>
      <c r="C17" s="20" t="n">
        <f aca="false">C46</f>
        <v>117.836046511628</v>
      </c>
      <c r="D17" s="20" t="n">
        <f aca="false">C17-B17</f>
        <v>0</v>
      </c>
      <c r="E17" s="7" t="s">
        <v>47</v>
      </c>
    </row>
    <row r="18" customFormat="false" ht="15" hidden="false" customHeight="false" outlineLevel="0" collapsed="false">
      <c r="A18" s="5" t="s">
        <v>48</v>
      </c>
      <c r="B18" s="23" t="n">
        <f aca="false">B37</f>
        <v>7.16870306099226</v>
      </c>
      <c r="C18" s="24" t="n">
        <f aca="false">C37</f>
        <v>7.16870306099226</v>
      </c>
      <c r="D18" s="24" t="n">
        <f aca="false">C18-B18</f>
        <v>0</v>
      </c>
      <c r="E18" s="7" t="s">
        <v>47</v>
      </c>
    </row>
    <row r="20" customFormat="false" ht="15" hidden="false" customHeight="false" outlineLevel="0" collapsed="false">
      <c r="A20" s="25" t="s">
        <v>49</v>
      </c>
    </row>
    <row r="21" customFormat="false" ht="15" hidden="false" customHeight="false" outlineLevel="0" collapsed="false">
      <c r="A21" s="26" t="str">
        <f aca="false">"Orders are "&amp;IF(D16&gt;=0,"up ","down ")&amp;TEXT(ABS(D16)/B16,"0%")&amp;" and profit is "&amp;IF(D14&gt;=0,"up ","down ")&amp;TEXT(ABS(D14),"$#,##0")&amp;" a day vs baseline ("&amp;TEXT(C14,"$#,##0;-$#,##0")&amp;"). Happiness: "&amp;TEXT(C15,"0")&amp;"/100. "&amp;IF(AND(D16&gt;0,D14&lt;-10),"Busier but poorer: the extra volume costs more to serve than it earns.",IF(AND(D14&gt;10,D15&lt;-3),"Profit rose, but at the expense of guest happiness.",IF(AND(D14&lt;-10,D15&gt;3),"Happier guests, but profit is thinner.",IF(D14&gt;10,"A win for profit"&amp;IF(D15&gt;=1," and guests.","."),IF(AND(D16=0,D14=0),"This is the baseline. Try a scenario or change a yellow cell.","Little change versus baseline.")))))&amp;IF(C38&gt;0," Your line limit turns guests away.","")&amp;IF(C39&gt;0," Low waste means you run out of items.","")&amp;IF(C14&lt;0," At these settings the café loses money.","")</f>
        <v>Orders are up 0% and profit is up $0 a day vs baseline ($186). Happiness: 78/100. This is the baseline. Try a scenario or change a yellow cell.</v>
      </c>
      <c r="B21" s="26"/>
      <c r="C21" s="26"/>
      <c r="D21" s="26"/>
      <c r="E21" s="26"/>
    </row>
    <row r="22" customFormat="false" ht="15" hidden="false" customHeight="false" outlineLevel="0" collapsed="false">
      <c r="A22" s="26"/>
      <c r="B22" s="26"/>
      <c r="C22" s="26"/>
      <c r="D22" s="26"/>
      <c r="E22" s="26"/>
    </row>
    <row r="23" customFormat="false" ht="15" hidden="false" customHeight="false" outlineLevel="0" collapsed="false">
      <c r="A23" s="26"/>
      <c r="B23" s="26"/>
      <c r="C23" s="26"/>
      <c r="D23" s="26"/>
      <c r="E23" s="26"/>
    </row>
    <row r="27" customFormat="false" ht="15" hidden="false" customHeight="false" outlineLevel="0" collapsed="false">
      <c r="A27" s="25" t="s">
        <v>50</v>
      </c>
    </row>
    <row r="28" customFormat="false" ht="15" hidden="false" customHeight="false" outlineLevel="0" collapsed="false">
      <c r="A28" s="8" t="s">
        <v>51</v>
      </c>
      <c r="B28" s="8" t="s">
        <v>25</v>
      </c>
      <c r="C28" s="8" t="s">
        <v>52</v>
      </c>
      <c r="D28" s="8" t="s">
        <v>53</v>
      </c>
    </row>
    <row r="29" customFormat="false" ht="15" hidden="false" customHeight="false" outlineLevel="0" collapsed="false">
      <c r="A29" s="9" t="s">
        <v>29</v>
      </c>
      <c r="B29" s="27" t="n">
        <f aca="false">B7</f>
        <v>6</v>
      </c>
      <c r="C29" s="27" t="n">
        <f aca="false">D7</f>
        <v>6</v>
      </c>
      <c r="D29" s="7"/>
    </row>
    <row r="30" customFormat="false" ht="15" hidden="false" customHeight="false" outlineLevel="0" collapsed="false">
      <c r="A30" s="9" t="s">
        <v>54</v>
      </c>
      <c r="B30" s="28" t="n">
        <f aca="false">B8</f>
        <v>52</v>
      </c>
      <c r="C30" s="28" t="n">
        <f aca="false">D8</f>
        <v>52</v>
      </c>
      <c r="D30" s="7"/>
    </row>
    <row r="31" customFormat="false" ht="15" hidden="false" customHeight="false" outlineLevel="0" collapsed="false">
      <c r="A31" s="9" t="s">
        <v>55</v>
      </c>
      <c r="B31" s="29" t="n">
        <f aca="false">B9</f>
        <v>0.14</v>
      </c>
      <c r="C31" s="29" t="n">
        <f aca="false">D9</f>
        <v>0.14</v>
      </c>
      <c r="D31" s="7"/>
    </row>
    <row r="32" customFormat="false" ht="15" hidden="false" customHeight="false" outlineLevel="0" collapsed="false">
      <c r="A32" s="9" t="s">
        <v>56</v>
      </c>
      <c r="B32" s="28" t="n">
        <f aca="false">B10</f>
        <v>15</v>
      </c>
      <c r="C32" s="28" t="n">
        <f aca="false">D10</f>
        <v>15</v>
      </c>
      <c r="D32" s="7"/>
    </row>
    <row r="33" customFormat="false" ht="15" hidden="false" customHeight="false" outlineLevel="0" collapsed="false">
      <c r="A33" s="9" t="s">
        <v>57</v>
      </c>
      <c r="B33" s="28" t="n">
        <f aca="false">B30*Assumptions!$B$7</f>
        <v>520</v>
      </c>
      <c r="C33" s="28" t="n">
        <f aca="false">C30*Assumptions!$B$7</f>
        <v>520</v>
      </c>
      <c r="D33" s="7" t="s">
        <v>58</v>
      </c>
    </row>
    <row r="34" customFormat="false" ht="15" hidden="false" customHeight="false" outlineLevel="0" collapsed="false">
      <c r="A34" s="9" t="s">
        <v>59</v>
      </c>
      <c r="B34" s="28" t="n">
        <f aca="false">Assumptions!$B$4*(Assumptions!$B$5/B29)^Assumptions!$B$6</f>
        <v>470</v>
      </c>
      <c r="C34" s="28" t="n">
        <f aca="false">Assumptions!$B$4*(Assumptions!$B$5/C29)^Assumptions!$B$6</f>
        <v>470</v>
      </c>
      <c r="D34" s="7" t="s">
        <v>60</v>
      </c>
    </row>
    <row r="35" customFormat="false" ht="15" hidden="false" customHeight="false" outlineLevel="0" collapsed="false">
      <c r="A35" s="9" t="s">
        <v>61</v>
      </c>
      <c r="B35" s="30" t="n">
        <f aca="false">MIN(1.6,B34/B33)</f>
        <v>0.903846153846154</v>
      </c>
      <c r="C35" s="30" t="n">
        <f aca="false">MIN(1.6,C34/C33)</f>
        <v>0.903846153846154</v>
      </c>
      <c r="D35" s="7"/>
    </row>
    <row r="36" customFormat="false" ht="15" hidden="false" customHeight="false" outlineLevel="0" collapsed="false">
      <c r="A36" s="9" t="s">
        <v>62</v>
      </c>
      <c r="B36" s="31" t="n">
        <f aca="false">MIN(25,2+7*B35^3)</f>
        <v>7.16870306099226</v>
      </c>
      <c r="C36" s="31" t="n">
        <f aca="false">MIN(25,2+7*C35^3)</f>
        <v>7.16870306099226</v>
      </c>
      <c r="D36" s="7" t="s">
        <v>63</v>
      </c>
    </row>
    <row r="37" customFormat="false" ht="15" hidden="false" customHeight="false" outlineLevel="0" collapsed="false">
      <c r="A37" s="9" t="s">
        <v>64</v>
      </c>
      <c r="B37" s="31" t="n">
        <f aca="false">MIN(B36,B32)</f>
        <v>7.16870306099226</v>
      </c>
      <c r="C37" s="31" t="n">
        <f aca="false">MIN(C36,C32)</f>
        <v>7.16870306099226</v>
      </c>
      <c r="D37" s="7" t="s">
        <v>65</v>
      </c>
    </row>
    <row r="38" customFormat="false" ht="15" hidden="false" customHeight="false" outlineLevel="0" collapsed="false">
      <c r="A38" s="9" t="s">
        <v>66</v>
      </c>
      <c r="B38" s="32" t="n">
        <f aca="false">IF(B36&gt;B32,MIN(0.5,(B36-B32)/B36),0)</f>
        <v>0</v>
      </c>
      <c r="C38" s="32" t="n">
        <f aca="false">IF(C36&gt;C32,MIN(0.5,(C36-C32)/C36),0)</f>
        <v>0</v>
      </c>
      <c r="D38" s="7" t="s">
        <v>67</v>
      </c>
    </row>
    <row r="39" customFormat="false" ht="15" hidden="false" customHeight="false" outlineLevel="0" collapsed="false">
      <c r="A39" s="9" t="s">
        <v>68</v>
      </c>
      <c r="B39" s="32" t="n">
        <f aca="false">MAX(0,0.1-B31)</f>
        <v>0</v>
      </c>
      <c r="C39" s="32" t="n">
        <f aca="false">MAX(0,0.1-C31)</f>
        <v>0</v>
      </c>
      <c r="D39" s="7" t="s">
        <v>69</v>
      </c>
    </row>
    <row r="40" customFormat="false" ht="15" hidden="false" customHeight="false" outlineLevel="0" collapsed="false">
      <c r="A40" s="9" t="s">
        <v>70</v>
      </c>
      <c r="B40" s="28" t="n">
        <f aca="false">MAX(20,MIN(98,88-3*MAX(0,B37-4)-4*(B29-Assumptions!$B$5)-50*B39+0.06*(B30-52)))</f>
        <v>78.4938908170232</v>
      </c>
      <c r="C40" s="28" t="n">
        <f aca="false">MAX(20,MIN(98,88-3*MAX(0,C37-4)-4*(C29-Assumptions!$B$5)-50*C39+0.06*(C30-52)))</f>
        <v>78.4938908170232</v>
      </c>
      <c r="D40" s="7" t="s">
        <v>71</v>
      </c>
    </row>
    <row r="41" customFormat="false" ht="15" hidden="false" customHeight="false" outlineLevel="0" collapsed="false">
      <c r="A41" s="9" t="s">
        <v>72</v>
      </c>
      <c r="B41" s="33" t="n">
        <f aca="false">MAX(0.85,MIN(1.1,1+0.004*(B40-80)))</f>
        <v>0.993975563268093</v>
      </c>
      <c r="C41" s="33" t="n">
        <f aca="false">MAX(0.85,MIN(1.1,1+0.004*(C40-80)))</f>
        <v>0.993975563268093</v>
      </c>
      <c r="D41" s="7"/>
    </row>
    <row r="42" customFormat="false" ht="15" hidden="false" customHeight="false" outlineLevel="0" collapsed="false">
      <c r="A42" s="9" t="s">
        <v>73</v>
      </c>
      <c r="B42" s="28" t="n">
        <f aca="false">MAX(0,ROUND(MIN(B34*B41,B33*1.05)*(1-B38)*(1-1.2*B39),0))</f>
        <v>467</v>
      </c>
      <c r="C42" s="28" t="n">
        <f aca="false">MAX(0,ROUND(MIN(C34*C41,C33*1.05)*(1-C38)*(1-1.2*C39),0))</f>
        <v>467</v>
      </c>
      <c r="D42" s="7" t="s">
        <v>74</v>
      </c>
    </row>
    <row r="43" customFormat="false" ht="15" hidden="false" customHeight="false" outlineLevel="0" collapsed="false">
      <c r="A43" s="9" t="s">
        <v>75</v>
      </c>
      <c r="B43" s="34" t="n">
        <f aca="false">B42*B29</f>
        <v>2802</v>
      </c>
      <c r="C43" s="34" t="n">
        <f aca="false">C42*C29</f>
        <v>2802</v>
      </c>
      <c r="D43" s="7"/>
    </row>
    <row r="44" customFormat="false" ht="15" hidden="false" customHeight="false" outlineLevel="0" collapsed="false">
      <c r="A44" s="9" t="s">
        <v>76</v>
      </c>
      <c r="B44" s="34" t="n">
        <f aca="false">B30*Assumptions!$B$8</f>
        <v>1040</v>
      </c>
      <c r="C44" s="34" t="n">
        <f aca="false">C30*Assumptions!$B$8</f>
        <v>1040</v>
      </c>
      <c r="D44" s="7"/>
    </row>
    <row r="45" customFormat="false" ht="15" hidden="false" customHeight="false" outlineLevel="0" collapsed="false">
      <c r="A45" s="9" t="s">
        <v>77</v>
      </c>
      <c r="B45" s="34" t="n">
        <f aca="false">B42*Assumptions!$B$9</f>
        <v>723.85</v>
      </c>
      <c r="C45" s="34" t="n">
        <f aca="false">C42*Assumptions!$B$9</f>
        <v>723.85</v>
      </c>
      <c r="D45" s="7"/>
    </row>
    <row r="46" customFormat="false" ht="15" hidden="false" customHeight="false" outlineLevel="0" collapsed="false">
      <c r="A46" s="9" t="s">
        <v>78</v>
      </c>
      <c r="B46" s="34" t="n">
        <f aca="false">B45/(1-B31)-B45</f>
        <v>117.836046511628</v>
      </c>
      <c r="C46" s="34" t="n">
        <f aca="false">C45/(1-C31)-C45</f>
        <v>117.836046511628</v>
      </c>
      <c r="D46" s="7"/>
    </row>
    <row r="47" customFormat="false" ht="15" hidden="false" customHeight="false" outlineLevel="0" collapsed="false">
      <c r="A47" s="9" t="s">
        <v>79</v>
      </c>
      <c r="B47" s="34" t="n">
        <f aca="false">Assumptions!$B$11+B43*Assumptions!$B$10</f>
        <v>734.06</v>
      </c>
      <c r="C47" s="34" t="n">
        <f aca="false">Assumptions!$B$11+C43*Assumptions!$B$10</f>
        <v>734.06</v>
      </c>
      <c r="D47" s="7"/>
    </row>
    <row r="48" customFormat="false" ht="15" hidden="false" customHeight="false" outlineLevel="0" collapsed="false">
      <c r="A48" s="9" t="s">
        <v>43</v>
      </c>
      <c r="B48" s="34" t="n">
        <f aca="false">B43-B44-B45-B46-B47</f>
        <v>186.253953488372</v>
      </c>
      <c r="C48" s="34" t="n">
        <f aca="false">C43-C44-C45-C46-C47</f>
        <v>186.253953488372</v>
      </c>
      <c r="D48" s="7"/>
    </row>
    <row r="49" customFormat="false" ht="15" hidden="false" customHeight="false" outlineLevel="0" collapsed="false">
      <c r="A49" s="9" t="s">
        <v>80</v>
      </c>
      <c r="B49" s="34" t="n">
        <f aca="false">IF(B42=0,0,B48/B42)</f>
        <v>0.39883073552114</v>
      </c>
      <c r="C49" s="34" t="n">
        <f aca="false">IF(C42=0,0,C48/C42)</f>
        <v>0.39883073552114</v>
      </c>
      <c r="D49" s="7"/>
    </row>
  </sheetData>
  <mergeCells count="1">
    <mergeCell ref="A21:E23"/>
  </mergeCells>
  <conditionalFormatting sqref="D13">
    <cfRule type="cellIs" priority="2" operator="greaterThan" aboveAverage="0" equalAverage="0" bottom="0" percent="0" rank="0" text="" dxfId="0">
      <formula>0.049</formula>
    </cfRule>
    <cfRule type="cellIs" priority="3" operator="lessThan" aboveAverage="0" equalAverage="0" bottom="0" percent="0" rank="0" text="" dxfId="1">
      <formula>-0.049</formula>
    </cfRule>
  </conditionalFormatting>
  <conditionalFormatting sqref="D14">
    <cfRule type="cellIs" priority="4" operator="greaterThan" aboveAverage="0" equalAverage="0" bottom="0" percent="0" rank="0" text="" dxfId="0">
      <formula>0.049</formula>
    </cfRule>
    <cfRule type="cellIs" priority="5" operator="lessThan" aboveAverage="0" equalAverage="0" bottom="0" percent="0" rank="0" text="" dxfId="1">
      <formula>-0.049</formula>
    </cfRule>
  </conditionalFormatting>
  <conditionalFormatting sqref="D15">
    <cfRule type="cellIs" priority="6" operator="greaterThan" aboveAverage="0" equalAverage="0" bottom="0" percent="0" rank="0" text="" dxfId="0">
      <formula>0.049</formula>
    </cfRule>
    <cfRule type="cellIs" priority="7" operator="lessThan" aboveAverage="0" equalAverage="0" bottom="0" percent="0" rank="0" text="" dxfId="1">
      <formula>-0.049</formula>
    </cfRule>
  </conditionalFormatting>
  <conditionalFormatting sqref="D16">
    <cfRule type="cellIs" priority="8" operator="greaterThan" aboveAverage="0" equalAverage="0" bottom="0" percent="0" rank="0" text="" dxfId="0">
      <formula>0.049</formula>
    </cfRule>
    <cfRule type="cellIs" priority="9" operator="lessThan" aboveAverage="0" equalAverage="0" bottom="0" percent="0" rank="0" text="" dxfId="1">
      <formula>-0.049</formula>
    </cfRule>
  </conditionalFormatting>
  <conditionalFormatting sqref="D17">
    <cfRule type="cellIs" priority="10" operator="greaterThan" aboveAverage="0" equalAverage="0" bottom="0" percent="0" rank="0" text="" dxfId="1">
      <formula>0.049</formula>
    </cfRule>
    <cfRule type="cellIs" priority="11" operator="lessThan" aboveAverage="0" equalAverage="0" bottom="0" percent="0" rank="0" text="" dxfId="0">
      <formula>-0.049</formula>
    </cfRule>
  </conditionalFormatting>
  <conditionalFormatting sqref="D18">
    <cfRule type="cellIs" priority="12" operator="greaterThan" aboveAverage="0" equalAverage="0" bottom="0" percent="0" rank="0" text="" dxfId="1">
      <formula>0.049</formula>
    </cfRule>
    <cfRule type="cellIs" priority="13" operator="lessThan" aboveAverage="0" equalAverage="0" bottom="0" percent="0" rank="0" text="" dxfId="0">
      <formula>-0.049</formula>
    </cfRule>
  </conditionalFormatting>
  <dataValidations count="5">
    <dataValidation allowBlank="false" errorStyle="stop" operator="between" showDropDown="false" showErrorMessage="false" showInputMessage="false" sqref="B4" type="list">
      <formula1>"Custom,Grow Sales,Protect Profit,Delight Customers"</formula1>
      <formula2>0</formula2>
    </dataValidation>
    <dataValidation allowBlank="false" error="Enter a value from 4 to 9." errorStyle="stop" errorTitle="Out of range" operator="between" showDropDown="false" showErrorMessage="true" showInputMessage="false" sqref="C7" type="decimal">
      <formula1>4</formula1>
      <formula2>9</formula2>
    </dataValidation>
    <dataValidation allowBlank="false" error="Enter a value from 24 to 100." errorStyle="stop" errorTitle="Out of range" operator="between" showDropDown="false" showErrorMessage="true" showInputMessage="false" sqref="C8" type="whole">
      <formula1>24</formula1>
      <formula2>100</formula2>
    </dataValidation>
    <dataValidation allowBlank="false" error="Enter a value from 0.02 to 0.3." errorStyle="stop" errorTitle="Out of range" operator="between" showDropDown="false" showErrorMessage="true" showInputMessage="false" sqref="C9" type="decimal">
      <formula1>0.02</formula1>
      <formula2>0.3</formula2>
    </dataValidation>
    <dataValidation allowBlank="false" error="Enter a value from 3 to 15." errorStyle="stop" errorTitle="Out of range" operator="between" showDropDown="false" showErrorMessage="true" showInputMessage="false" sqref="C10" type="whole">
      <formula1>3</formula1>
      <formula2>15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20"/>
    <col collapsed="false" customWidth="true" hidden="false" outlineLevel="0" max="3" min="3" style="0" width="44"/>
    <col collapsed="false" customWidth="true" hidden="false" outlineLevel="0" max="4" min="4" style="0" width="20"/>
  </cols>
  <sheetData>
    <row r="1" customFormat="false" ht="19.7" hidden="false" customHeight="false" outlineLevel="0" collapsed="false">
      <c r="A1" s="1" t="s">
        <v>81</v>
      </c>
    </row>
    <row r="2" customFormat="false" ht="15" hidden="false" customHeight="false" outlineLevel="0" collapsed="false">
      <c r="A2" s="2" t="s">
        <v>82</v>
      </c>
    </row>
    <row r="3" customFormat="false" ht="15" hidden="false" customHeight="false" outlineLevel="0" collapsed="false">
      <c r="A3" s="8" t="s">
        <v>83</v>
      </c>
      <c r="B3" s="8" t="s">
        <v>84</v>
      </c>
      <c r="C3" s="8" t="s">
        <v>85</v>
      </c>
    </row>
    <row r="4" customFormat="false" ht="15" hidden="false" customHeight="false" outlineLevel="0" collapsed="false">
      <c r="A4" s="9" t="s">
        <v>86</v>
      </c>
      <c r="B4" s="35" t="n">
        <v>470</v>
      </c>
      <c r="C4" s="7" t="s">
        <v>87</v>
      </c>
    </row>
    <row r="5" customFormat="false" ht="15" hidden="false" customHeight="false" outlineLevel="0" collapsed="false">
      <c r="A5" s="9" t="s">
        <v>88</v>
      </c>
      <c r="B5" s="36" t="n">
        <v>6</v>
      </c>
      <c r="C5" s="7" t="s">
        <v>87</v>
      </c>
    </row>
    <row r="6" customFormat="false" ht="15" hidden="false" customHeight="false" outlineLevel="0" collapsed="false">
      <c r="A6" s="9" t="s">
        <v>89</v>
      </c>
      <c r="B6" s="37" t="n">
        <v>1.2</v>
      </c>
      <c r="C6" s="7" t="s">
        <v>90</v>
      </c>
    </row>
    <row r="7" customFormat="false" ht="15" hidden="false" customHeight="false" outlineLevel="0" collapsed="false">
      <c r="A7" s="9" t="s">
        <v>91</v>
      </c>
      <c r="B7" s="35" t="n">
        <v>10</v>
      </c>
      <c r="C7" s="7" t="s">
        <v>92</v>
      </c>
    </row>
    <row r="8" customFormat="false" ht="15" hidden="false" customHeight="false" outlineLevel="0" collapsed="false">
      <c r="A8" s="9" t="s">
        <v>93</v>
      </c>
      <c r="B8" s="36" t="n">
        <v>20</v>
      </c>
      <c r="C8" s="7" t="s">
        <v>87</v>
      </c>
    </row>
    <row r="9" customFormat="false" ht="15" hidden="false" customHeight="false" outlineLevel="0" collapsed="false">
      <c r="A9" s="9" t="s">
        <v>94</v>
      </c>
      <c r="B9" s="36" t="n">
        <v>1.55</v>
      </c>
      <c r="C9" s="7" t="s">
        <v>87</v>
      </c>
    </row>
    <row r="10" customFormat="false" ht="15" hidden="false" customHeight="false" outlineLevel="0" collapsed="false">
      <c r="A10" s="9" t="s">
        <v>95</v>
      </c>
      <c r="B10" s="38" t="n">
        <v>0.03</v>
      </c>
      <c r="C10" s="7" t="s">
        <v>87</v>
      </c>
    </row>
    <row r="11" customFormat="false" ht="15" hidden="false" customHeight="false" outlineLevel="0" collapsed="false">
      <c r="A11" s="9" t="s">
        <v>96</v>
      </c>
      <c r="B11" s="39" t="n">
        <v>650</v>
      </c>
      <c r="C11" s="7" t="s">
        <v>87</v>
      </c>
    </row>
    <row r="13" customFormat="false" ht="15" hidden="false" customHeight="false" outlineLevel="0" collapsed="false">
      <c r="A13" s="25" t="s">
        <v>97</v>
      </c>
    </row>
    <row r="14" customFormat="false" ht="15" hidden="false" customHeight="false" outlineLevel="0" collapsed="false">
      <c r="A14" s="8" t="s">
        <v>98</v>
      </c>
      <c r="B14" s="8" t="s">
        <v>99</v>
      </c>
      <c r="C14" s="8" t="s">
        <v>100</v>
      </c>
      <c r="D14" s="8" t="s">
        <v>101</v>
      </c>
    </row>
    <row r="15" customFormat="false" ht="15" hidden="false" customHeight="false" outlineLevel="0" collapsed="false">
      <c r="A15" s="9" t="s">
        <v>29</v>
      </c>
      <c r="B15" s="36" t="n">
        <v>5.25</v>
      </c>
      <c r="C15" s="36" t="n">
        <v>6.75</v>
      </c>
      <c r="D15" s="36" t="n">
        <v>6</v>
      </c>
    </row>
    <row r="16" customFormat="false" ht="15" hidden="false" customHeight="false" outlineLevel="0" collapsed="false">
      <c r="A16" s="9" t="s">
        <v>31</v>
      </c>
      <c r="B16" s="35" t="n">
        <v>64</v>
      </c>
      <c r="C16" s="35" t="n">
        <v>46</v>
      </c>
      <c r="D16" s="35" t="n">
        <v>70</v>
      </c>
    </row>
    <row r="17" customFormat="false" ht="15" hidden="false" customHeight="false" outlineLevel="0" collapsed="false">
      <c r="A17" s="9" t="s">
        <v>33</v>
      </c>
      <c r="B17" s="40" t="n">
        <v>0.14</v>
      </c>
      <c r="C17" s="40" t="n">
        <v>0.08</v>
      </c>
      <c r="D17" s="40" t="n">
        <v>0.12</v>
      </c>
    </row>
    <row r="18" customFormat="false" ht="15" hidden="false" customHeight="false" outlineLevel="0" collapsed="false">
      <c r="A18" s="9" t="s">
        <v>35</v>
      </c>
      <c r="B18" s="35" t="n">
        <v>15</v>
      </c>
      <c r="C18" s="35" t="n">
        <v>10</v>
      </c>
      <c r="D18" s="35" t="n">
        <v>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9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3" min="1" style="0" width="14"/>
  </cols>
  <sheetData>
    <row r="1" customFormat="false" ht="31.5" hidden="false" customHeight="true" outlineLevel="0" collapsed="false">
      <c r="A1" s="8" t="s">
        <v>102</v>
      </c>
      <c r="B1" s="8" t="s">
        <v>103</v>
      </c>
      <c r="C1" s="8" t="s">
        <v>104</v>
      </c>
      <c r="D1" s="8" t="s">
        <v>54</v>
      </c>
      <c r="E1" s="8" t="s">
        <v>105</v>
      </c>
      <c r="F1" s="8" t="s">
        <v>106</v>
      </c>
      <c r="G1" s="8" t="s">
        <v>107</v>
      </c>
      <c r="H1" s="8" t="s">
        <v>75</v>
      </c>
      <c r="I1" s="8" t="s">
        <v>76</v>
      </c>
      <c r="J1" s="8" t="s">
        <v>108</v>
      </c>
      <c r="K1" s="8" t="s">
        <v>78</v>
      </c>
      <c r="L1" s="8" t="s">
        <v>109</v>
      </c>
      <c r="M1" s="8" t="s">
        <v>43</v>
      </c>
    </row>
    <row r="2" customFormat="false" ht="15" hidden="false" customHeight="false" outlineLevel="0" collapsed="false">
      <c r="A2" s="41" t="n">
        <v>46204</v>
      </c>
      <c r="B2" s="9" t="n">
        <v>403</v>
      </c>
      <c r="C2" s="42" t="n">
        <v>6.34</v>
      </c>
      <c r="D2" s="9" t="n">
        <v>44</v>
      </c>
      <c r="E2" s="43" t="n">
        <v>0.086</v>
      </c>
      <c r="F2" s="9" t="n">
        <v>4.2</v>
      </c>
      <c r="G2" s="9" t="n">
        <v>87</v>
      </c>
      <c r="H2" s="34" t="n">
        <f aca="false">B2*C2</f>
        <v>2555.02</v>
      </c>
      <c r="I2" s="44" t="n">
        <f aca="false">D2*Assumptions!$B$8</f>
        <v>880</v>
      </c>
      <c r="J2" s="44" t="n">
        <f aca="false">B2*Assumptions!$B$9/(1-E2)</f>
        <v>683.424507658643</v>
      </c>
      <c r="K2" s="44" t="n">
        <f aca="false">J2-B2*Assumptions!$B$9</f>
        <v>58.7745076586433</v>
      </c>
      <c r="L2" s="44" t="n">
        <f aca="false">H2*Assumptions!$B$10</f>
        <v>76.6506</v>
      </c>
      <c r="M2" s="44" t="n">
        <f aca="false">H2-I2-J2-L2-Assumptions!$B$11</f>
        <v>264.944892341357</v>
      </c>
    </row>
    <row r="3" customFormat="false" ht="15" hidden="false" customHeight="false" outlineLevel="0" collapsed="false">
      <c r="A3" s="41" t="n">
        <v>46205</v>
      </c>
      <c r="B3" s="9" t="n">
        <v>410</v>
      </c>
      <c r="C3" s="42" t="n">
        <v>6.35</v>
      </c>
      <c r="D3" s="9" t="n">
        <v>44</v>
      </c>
      <c r="E3" s="43" t="n">
        <v>0.083</v>
      </c>
      <c r="F3" s="9" t="n">
        <v>3.8</v>
      </c>
      <c r="G3" s="9" t="n">
        <v>86</v>
      </c>
      <c r="H3" s="34" t="n">
        <f aca="false">B3*C3</f>
        <v>2603.5</v>
      </c>
      <c r="I3" s="44" t="n">
        <f aca="false">D3*Assumptions!$B$8</f>
        <v>880</v>
      </c>
      <c r="J3" s="44" t="n">
        <f aca="false">B3*Assumptions!$B$9/(1-E3)</f>
        <v>693.020719738277</v>
      </c>
      <c r="K3" s="44" t="n">
        <f aca="false">J3-B3*Assumptions!$B$9</f>
        <v>57.520719738277</v>
      </c>
      <c r="L3" s="44" t="n">
        <f aca="false">H3*Assumptions!$B$10</f>
        <v>78.105</v>
      </c>
      <c r="M3" s="44" t="n">
        <f aca="false">H3-I3-J3-L3-Assumptions!$B$11</f>
        <v>302.374280261723</v>
      </c>
    </row>
    <row r="4" customFormat="false" ht="15" hidden="false" customHeight="false" outlineLevel="0" collapsed="false">
      <c r="A4" s="41" t="n">
        <v>46206</v>
      </c>
      <c r="B4" s="9" t="n">
        <v>390</v>
      </c>
      <c r="C4" s="42" t="n">
        <v>6.35</v>
      </c>
      <c r="D4" s="9" t="n">
        <v>44</v>
      </c>
      <c r="E4" s="43" t="n">
        <v>0.092</v>
      </c>
      <c r="F4" s="9" t="n">
        <v>3.9</v>
      </c>
      <c r="G4" s="9" t="n">
        <v>86</v>
      </c>
      <c r="H4" s="34" t="n">
        <f aca="false">B4*C4</f>
        <v>2476.5</v>
      </c>
      <c r="I4" s="44" t="n">
        <f aca="false">D4*Assumptions!$B$8</f>
        <v>880</v>
      </c>
      <c r="J4" s="44" t="n">
        <f aca="false">B4*Assumptions!$B$9/(1-E4)</f>
        <v>665.748898678414</v>
      </c>
      <c r="K4" s="44" t="n">
        <f aca="false">J4-B4*Assumptions!$B$9</f>
        <v>61.2488986784141</v>
      </c>
      <c r="L4" s="44" t="n">
        <f aca="false">H4*Assumptions!$B$10</f>
        <v>74.295</v>
      </c>
      <c r="M4" s="44" t="n">
        <f aca="false">H4-I4-J4-L4-Assumptions!$B$11</f>
        <v>206.456101321586</v>
      </c>
    </row>
    <row r="5" customFormat="false" ht="15" hidden="false" customHeight="false" outlineLevel="0" collapsed="false">
      <c r="A5" s="41" t="n">
        <v>46207</v>
      </c>
      <c r="B5" s="9" t="n">
        <v>435</v>
      </c>
      <c r="C5" s="42" t="n">
        <v>6.33</v>
      </c>
      <c r="D5" s="9" t="n">
        <v>49</v>
      </c>
      <c r="E5" s="43" t="n">
        <v>0.095</v>
      </c>
      <c r="F5" s="9" t="n">
        <v>4.8</v>
      </c>
      <c r="G5" s="9" t="n">
        <v>85</v>
      </c>
      <c r="H5" s="34" t="n">
        <f aca="false">B5*C5</f>
        <v>2753.55</v>
      </c>
      <c r="I5" s="44" t="n">
        <f aca="false">D5*Assumptions!$B$8</f>
        <v>980</v>
      </c>
      <c r="J5" s="44" t="n">
        <f aca="false">B5*Assumptions!$B$9/(1-E5)</f>
        <v>745.027624309392</v>
      </c>
      <c r="K5" s="44" t="n">
        <f aca="false">J5-B5*Assumptions!$B$9</f>
        <v>70.7776243093922</v>
      </c>
      <c r="L5" s="44" t="n">
        <f aca="false">H5*Assumptions!$B$10</f>
        <v>82.6065</v>
      </c>
      <c r="M5" s="44" t="n">
        <f aca="false">H5-I5-J5-L5-Assumptions!$B$11</f>
        <v>295.915875690608</v>
      </c>
    </row>
    <row r="6" customFormat="false" ht="15" hidden="false" customHeight="false" outlineLevel="0" collapsed="false">
      <c r="A6" s="41" t="n">
        <v>46208</v>
      </c>
      <c r="B6" s="9" t="n">
        <v>439</v>
      </c>
      <c r="C6" s="42" t="n">
        <v>6.36</v>
      </c>
      <c r="D6" s="9" t="n">
        <v>48</v>
      </c>
      <c r="E6" s="43" t="n">
        <v>0.086</v>
      </c>
      <c r="F6" s="9" t="n">
        <v>5.2</v>
      </c>
      <c r="G6" s="9" t="n">
        <v>86</v>
      </c>
      <c r="H6" s="34" t="n">
        <f aca="false">B6*C6</f>
        <v>2792.04</v>
      </c>
      <c r="I6" s="44" t="n">
        <f aca="false">D6*Assumptions!$B$8</f>
        <v>960</v>
      </c>
      <c r="J6" s="44" t="n">
        <f aca="false">B6*Assumptions!$B$9/(1-E6)</f>
        <v>744.474835886215</v>
      </c>
      <c r="K6" s="44" t="n">
        <f aca="false">J6-B6*Assumptions!$B$9</f>
        <v>64.0248358862144</v>
      </c>
      <c r="L6" s="44" t="n">
        <f aca="false">H6*Assumptions!$B$10</f>
        <v>83.7612</v>
      </c>
      <c r="M6" s="44" t="n">
        <f aca="false">H6-I6-J6-L6-Assumptions!$B$11</f>
        <v>353.803964113786</v>
      </c>
    </row>
    <row r="7" customFormat="false" ht="15" hidden="false" customHeight="false" outlineLevel="0" collapsed="false">
      <c r="A7" s="41" t="n">
        <v>46209</v>
      </c>
      <c r="B7" s="9" t="n">
        <v>411</v>
      </c>
      <c r="C7" s="42" t="n">
        <v>6.41</v>
      </c>
      <c r="D7" s="9" t="n">
        <v>45</v>
      </c>
      <c r="E7" s="43" t="n">
        <v>0.1</v>
      </c>
      <c r="F7" s="9" t="n">
        <v>4.1</v>
      </c>
      <c r="G7" s="9" t="n">
        <v>86</v>
      </c>
      <c r="H7" s="34" t="n">
        <f aca="false">B7*C7</f>
        <v>2634.51</v>
      </c>
      <c r="I7" s="44" t="n">
        <f aca="false">D7*Assumptions!$B$8</f>
        <v>900</v>
      </c>
      <c r="J7" s="44" t="n">
        <f aca="false">B7*Assumptions!$B$9/(1-E7)</f>
        <v>707.833333333333</v>
      </c>
      <c r="K7" s="44" t="n">
        <f aca="false">J7-B7*Assumptions!$B$9</f>
        <v>70.7833333333333</v>
      </c>
      <c r="L7" s="44" t="n">
        <f aca="false">H7*Assumptions!$B$10</f>
        <v>79.0353</v>
      </c>
      <c r="M7" s="44" t="n">
        <f aca="false">H7-I7-J7-L7-Assumptions!$B$11</f>
        <v>297.641366666667</v>
      </c>
    </row>
    <row r="8" customFormat="false" ht="15" hidden="false" customHeight="false" outlineLevel="0" collapsed="false">
      <c r="A8" s="41" t="n">
        <v>46210</v>
      </c>
      <c r="B8" s="9" t="n">
        <v>413</v>
      </c>
      <c r="C8" s="42" t="n">
        <v>6.39</v>
      </c>
      <c r="D8" s="9" t="n">
        <v>45</v>
      </c>
      <c r="E8" s="43" t="n">
        <v>0.095</v>
      </c>
      <c r="F8" s="9" t="n">
        <v>4.4</v>
      </c>
      <c r="G8" s="9" t="n">
        <v>84</v>
      </c>
      <c r="H8" s="34" t="n">
        <f aca="false">B8*C8</f>
        <v>2639.07</v>
      </c>
      <c r="I8" s="44" t="n">
        <f aca="false">D8*Assumptions!$B$8</f>
        <v>900</v>
      </c>
      <c r="J8" s="44" t="n">
        <f aca="false">B8*Assumptions!$B$9/(1-E8)</f>
        <v>707.348066298343</v>
      </c>
      <c r="K8" s="44" t="n">
        <f aca="false">J8-B8*Assumptions!$B$9</f>
        <v>67.1980662983425</v>
      </c>
      <c r="L8" s="44" t="n">
        <f aca="false">H8*Assumptions!$B$10</f>
        <v>79.1721</v>
      </c>
      <c r="M8" s="44" t="n">
        <f aca="false">H8-I8-J8-L8-Assumptions!$B$11</f>
        <v>302.549833701657</v>
      </c>
    </row>
    <row r="9" customFormat="false" ht="15" hidden="false" customHeight="false" outlineLevel="0" collapsed="false">
      <c r="A9" s="41" t="n">
        <v>46211</v>
      </c>
      <c r="B9" s="9" t="n">
        <v>399</v>
      </c>
      <c r="C9" s="42" t="n">
        <v>6.34</v>
      </c>
      <c r="D9" s="9" t="n">
        <v>44</v>
      </c>
      <c r="E9" s="43" t="n">
        <v>0.09</v>
      </c>
      <c r="F9" s="9" t="n">
        <v>4</v>
      </c>
      <c r="G9" s="9" t="n">
        <v>85</v>
      </c>
      <c r="H9" s="34" t="n">
        <f aca="false">B9*C9</f>
        <v>2529.66</v>
      </c>
      <c r="I9" s="44" t="n">
        <f aca="false">D9*Assumptions!$B$8</f>
        <v>880</v>
      </c>
      <c r="J9" s="44" t="n">
        <f aca="false">B9*Assumptions!$B$9/(1-E9)</f>
        <v>679.615384615385</v>
      </c>
      <c r="K9" s="44" t="n">
        <f aca="false">J9-B9*Assumptions!$B$9</f>
        <v>61.1653846153846</v>
      </c>
      <c r="L9" s="44" t="n">
        <f aca="false">H9*Assumptions!$B$10</f>
        <v>75.8898</v>
      </c>
      <c r="M9" s="44" t="n">
        <f aca="false">H9-I9-J9-L9-Assumptions!$B$11</f>
        <v>244.154815384615</v>
      </c>
    </row>
    <row r="10" customFormat="false" ht="15" hidden="false" customHeight="false" outlineLevel="0" collapsed="false">
      <c r="A10" s="41" t="n">
        <v>46212</v>
      </c>
      <c r="B10" s="9" t="n">
        <v>409</v>
      </c>
      <c r="C10" s="42" t="n">
        <v>6.35</v>
      </c>
      <c r="D10" s="9" t="n">
        <v>44</v>
      </c>
      <c r="E10" s="43" t="n">
        <v>0.09</v>
      </c>
      <c r="F10" s="9" t="n">
        <v>4.1</v>
      </c>
      <c r="G10" s="9" t="n">
        <v>87</v>
      </c>
      <c r="H10" s="34" t="n">
        <f aca="false">B10*C10</f>
        <v>2597.15</v>
      </c>
      <c r="I10" s="44" t="n">
        <f aca="false">D10*Assumptions!$B$8</f>
        <v>880</v>
      </c>
      <c r="J10" s="44" t="n">
        <f aca="false">B10*Assumptions!$B$9/(1-E10)</f>
        <v>696.648351648352</v>
      </c>
      <c r="K10" s="44" t="n">
        <f aca="false">J10-B10*Assumptions!$B$9</f>
        <v>62.6983516483516</v>
      </c>
      <c r="L10" s="44" t="n">
        <f aca="false">H10*Assumptions!$B$10</f>
        <v>77.9145</v>
      </c>
      <c r="M10" s="44" t="n">
        <f aca="false">H10-I10-J10-L10-Assumptions!$B$11</f>
        <v>292.587148351648</v>
      </c>
    </row>
    <row r="11" customFormat="false" ht="15" hidden="false" customHeight="false" outlineLevel="0" collapsed="false">
      <c r="A11" s="41" t="n">
        <v>46213</v>
      </c>
      <c r="B11" s="9" t="n">
        <v>411</v>
      </c>
      <c r="C11" s="42" t="n">
        <v>6.37</v>
      </c>
      <c r="D11" s="9" t="n">
        <v>44</v>
      </c>
      <c r="E11" s="43" t="n">
        <v>0.099</v>
      </c>
      <c r="F11" s="9" t="n">
        <v>4.1</v>
      </c>
      <c r="G11" s="9" t="n">
        <v>85</v>
      </c>
      <c r="H11" s="34" t="n">
        <f aca="false">B11*C11</f>
        <v>2618.07</v>
      </c>
      <c r="I11" s="44" t="n">
        <f aca="false">D11*Assumptions!$B$8</f>
        <v>880</v>
      </c>
      <c r="J11" s="44" t="n">
        <f aca="false">B11*Assumptions!$B$9/(1-E11)</f>
        <v>707.047724750278</v>
      </c>
      <c r="K11" s="44" t="n">
        <f aca="false">J11-B11*Assumptions!$B$9</f>
        <v>69.9977247502775</v>
      </c>
      <c r="L11" s="44" t="n">
        <f aca="false">H11*Assumptions!$B$10</f>
        <v>78.5421</v>
      </c>
      <c r="M11" s="44" t="n">
        <f aca="false">H11-I11-J11-L11-Assumptions!$B$11</f>
        <v>302.480175249723</v>
      </c>
    </row>
    <row r="12" customFormat="false" ht="15" hidden="false" customHeight="false" outlineLevel="0" collapsed="false">
      <c r="A12" s="41" t="n">
        <v>46214</v>
      </c>
      <c r="B12" s="9" t="n">
        <v>445</v>
      </c>
      <c r="C12" s="42" t="n">
        <v>6.37</v>
      </c>
      <c r="D12" s="9" t="n">
        <v>49</v>
      </c>
      <c r="E12" s="43" t="n">
        <v>0.099</v>
      </c>
      <c r="F12" s="9" t="n">
        <v>5.5</v>
      </c>
      <c r="G12" s="9" t="n">
        <v>86</v>
      </c>
      <c r="H12" s="34" t="n">
        <f aca="false">B12*C12</f>
        <v>2834.65</v>
      </c>
      <c r="I12" s="44" t="n">
        <f aca="false">D12*Assumptions!$B$8</f>
        <v>980</v>
      </c>
      <c r="J12" s="44" t="n">
        <f aca="false">B12*Assumptions!$B$9/(1-E12)</f>
        <v>765.538290788013</v>
      </c>
      <c r="K12" s="44" t="n">
        <f aca="false">J12-B12*Assumptions!$B$9</f>
        <v>75.7882907880133</v>
      </c>
      <c r="L12" s="44" t="n">
        <f aca="false">H12*Assumptions!$B$10</f>
        <v>85.0395</v>
      </c>
      <c r="M12" s="44" t="n">
        <f aca="false">H12-I12-J12-L12-Assumptions!$B$11</f>
        <v>354.072209211987</v>
      </c>
    </row>
    <row r="13" customFormat="false" ht="15" hidden="false" customHeight="false" outlineLevel="0" collapsed="false">
      <c r="A13" s="41" t="n">
        <v>46215</v>
      </c>
      <c r="B13" s="9" t="n">
        <v>427</v>
      </c>
      <c r="C13" s="42" t="n">
        <v>6.29</v>
      </c>
      <c r="D13" s="9" t="n">
        <v>49</v>
      </c>
      <c r="E13" s="43" t="n">
        <v>0.092</v>
      </c>
      <c r="F13" s="9" t="n">
        <v>5</v>
      </c>
      <c r="G13" s="9" t="n">
        <v>86</v>
      </c>
      <c r="H13" s="34" t="n">
        <f aca="false">B13*C13</f>
        <v>2685.83</v>
      </c>
      <c r="I13" s="44" t="n">
        <f aca="false">D13*Assumptions!$B$8</f>
        <v>980</v>
      </c>
      <c r="J13" s="44" t="n">
        <f aca="false">B13*Assumptions!$B$9/(1-E13)</f>
        <v>728.909691629956</v>
      </c>
      <c r="K13" s="44" t="n">
        <f aca="false">J13-B13*Assumptions!$B$9</f>
        <v>67.059691629956</v>
      </c>
      <c r="L13" s="44" t="n">
        <f aca="false">H13*Assumptions!$B$10</f>
        <v>80.5749</v>
      </c>
      <c r="M13" s="44" t="n">
        <f aca="false">H13-I13-J13-L13-Assumptions!$B$11</f>
        <v>246.345408370044</v>
      </c>
    </row>
    <row r="14" customFormat="false" ht="15" hidden="false" customHeight="false" outlineLevel="0" collapsed="false">
      <c r="A14" s="41" t="n">
        <v>46216</v>
      </c>
      <c r="B14" s="9" t="n">
        <v>418</v>
      </c>
      <c r="C14" s="42" t="n">
        <v>6.32</v>
      </c>
      <c r="D14" s="9" t="n">
        <v>45</v>
      </c>
      <c r="E14" s="43" t="n">
        <v>0.095</v>
      </c>
      <c r="F14" s="9" t="n">
        <v>4.8</v>
      </c>
      <c r="G14" s="9" t="n">
        <v>85</v>
      </c>
      <c r="H14" s="34" t="n">
        <f aca="false">B14*C14</f>
        <v>2641.76</v>
      </c>
      <c r="I14" s="44" t="n">
        <f aca="false">D14*Assumptions!$B$8</f>
        <v>900</v>
      </c>
      <c r="J14" s="44" t="n">
        <f aca="false">B14*Assumptions!$B$9/(1-E14)</f>
        <v>715.911602209945</v>
      </c>
      <c r="K14" s="44" t="n">
        <f aca="false">J14-B14*Assumptions!$B$9</f>
        <v>68.0116022099447</v>
      </c>
      <c r="L14" s="44" t="n">
        <f aca="false">H14*Assumptions!$B$10</f>
        <v>79.2528</v>
      </c>
      <c r="M14" s="44" t="n">
        <f aca="false">H14-I14-J14-L14-Assumptions!$B$11</f>
        <v>296.595597790056</v>
      </c>
    </row>
    <row r="15" customFormat="false" ht="15" hidden="false" customHeight="false" outlineLevel="0" collapsed="false">
      <c r="A15" s="41" t="n">
        <v>46217</v>
      </c>
      <c r="B15" s="9" t="n">
        <v>404</v>
      </c>
      <c r="C15" s="42" t="n">
        <v>6.31</v>
      </c>
      <c r="D15" s="9" t="n">
        <v>45</v>
      </c>
      <c r="E15" s="43" t="n">
        <v>0.093</v>
      </c>
      <c r="F15" s="9" t="n">
        <v>4.6</v>
      </c>
      <c r="G15" s="9" t="n">
        <v>86</v>
      </c>
      <c r="H15" s="34" t="n">
        <f aca="false">B15*C15</f>
        <v>2549.24</v>
      </c>
      <c r="I15" s="44" t="n">
        <f aca="false">D15*Assumptions!$B$8</f>
        <v>900</v>
      </c>
      <c r="J15" s="44" t="n">
        <f aca="false">B15*Assumptions!$B$9/(1-E15)</f>
        <v>690.407938257994</v>
      </c>
      <c r="K15" s="44" t="n">
        <f aca="false">J15-B15*Assumptions!$B$9</f>
        <v>64.2079382579934</v>
      </c>
      <c r="L15" s="44" t="n">
        <f aca="false">H15*Assumptions!$B$10</f>
        <v>76.4772</v>
      </c>
      <c r="M15" s="44" t="n">
        <f aca="false">H15-I15-J15-L15-Assumptions!$B$11</f>
        <v>232.354861742006</v>
      </c>
    </row>
    <row r="16" customFormat="false" ht="15" hidden="false" customHeight="false" outlineLevel="0" collapsed="false">
      <c r="A16" s="41" t="n">
        <v>46218</v>
      </c>
      <c r="B16" s="9" t="n">
        <v>408</v>
      </c>
      <c r="C16" s="42" t="n">
        <v>6.3</v>
      </c>
      <c r="D16" s="9" t="n">
        <v>46</v>
      </c>
      <c r="E16" s="43" t="n">
        <v>0.098</v>
      </c>
      <c r="F16" s="9" t="n">
        <v>4.2</v>
      </c>
      <c r="G16" s="9" t="n">
        <v>83</v>
      </c>
      <c r="H16" s="34" t="n">
        <f aca="false">B16*C16</f>
        <v>2570.4</v>
      </c>
      <c r="I16" s="44" t="n">
        <f aca="false">D16*Assumptions!$B$8</f>
        <v>920</v>
      </c>
      <c r="J16" s="44" t="n">
        <f aca="false">B16*Assumptions!$B$9/(1-E16)</f>
        <v>701.108647450111</v>
      </c>
      <c r="K16" s="44" t="n">
        <f aca="false">J16-B16*Assumptions!$B$9</f>
        <v>68.7086474501108</v>
      </c>
      <c r="L16" s="44" t="n">
        <f aca="false">H16*Assumptions!$B$10</f>
        <v>77.112</v>
      </c>
      <c r="M16" s="44" t="n">
        <f aca="false">H16-I16-J16-L16-Assumptions!$B$11</f>
        <v>222.179352549889</v>
      </c>
    </row>
    <row r="17" customFormat="false" ht="15" hidden="false" customHeight="false" outlineLevel="0" collapsed="false">
      <c r="A17" s="41" t="n">
        <v>46219</v>
      </c>
      <c r="B17" s="9" t="n">
        <v>402</v>
      </c>
      <c r="C17" s="42" t="n">
        <v>6.35</v>
      </c>
      <c r="D17" s="9" t="n">
        <v>46</v>
      </c>
      <c r="E17" s="43" t="n">
        <v>0.097</v>
      </c>
      <c r="F17" s="9" t="n">
        <v>4.2</v>
      </c>
      <c r="G17" s="9" t="n">
        <v>84</v>
      </c>
      <c r="H17" s="34" t="n">
        <f aca="false">B17*C17</f>
        <v>2552.7</v>
      </c>
      <c r="I17" s="44" t="n">
        <f aca="false">D17*Assumptions!$B$8</f>
        <v>920</v>
      </c>
      <c r="J17" s="44" t="n">
        <f aca="false">B17*Assumptions!$B$9/(1-E17)</f>
        <v>690.033222591362</v>
      </c>
      <c r="K17" s="44" t="n">
        <f aca="false">J17-B17*Assumptions!$B$9</f>
        <v>66.9332225913621</v>
      </c>
      <c r="L17" s="44" t="n">
        <f aca="false">H17*Assumptions!$B$10</f>
        <v>76.581</v>
      </c>
      <c r="M17" s="44" t="n">
        <f aca="false">H17-I17-J17-L17-Assumptions!$B$11</f>
        <v>216.085777408638</v>
      </c>
    </row>
    <row r="18" customFormat="false" ht="15" hidden="false" customHeight="false" outlineLevel="0" collapsed="false">
      <c r="A18" s="41" t="n">
        <v>46220</v>
      </c>
      <c r="B18" s="9" t="n">
        <v>424</v>
      </c>
      <c r="C18" s="42" t="n">
        <v>6.33</v>
      </c>
      <c r="D18" s="9" t="n">
        <v>46</v>
      </c>
      <c r="E18" s="43" t="n">
        <v>0.105</v>
      </c>
      <c r="F18" s="9" t="n">
        <v>4.2</v>
      </c>
      <c r="G18" s="9" t="n">
        <v>85</v>
      </c>
      <c r="H18" s="34" t="n">
        <f aca="false">B18*C18</f>
        <v>2683.92</v>
      </c>
      <c r="I18" s="44" t="n">
        <f aca="false">D18*Assumptions!$B$8</f>
        <v>920</v>
      </c>
      <c r="J18" s="44" t="n">
        <f aca="false">B18*Assumptions!$B$9/(1-E18)</f>
        <v>734.301675977654</v>
      </c>
      <c r="K18" s="44" t="n">
        <f aca="false">J18-B18*Assumptions!$B$9</f>
        <v>77.1016759776536</v>
      </c>
      <c r="L18" s="44" t="n">
        <f aca="false">H18*Assumptions!$B$10</f>
        <v>80.5176</v>
      </c>
      <c r="M18" s="44" t="n">
        <f aca="false">H18-I18-J18-L18-Assumptions!$B$11</f>
        <v>299.100724022346</v>
      </c>
    </row>
    <row r="19" customFormat="false" ht="15" hidden="false" customHeight="false" outlineLevel="0" collapsed="false">
      <c r="A19" s="41" t="n">
        <v>46221</v>
      </c>
      <c r="B19" s="9" t="n">
        <v>443</v>
      </c>
      <c r="C19" s="42" t="n">
        <v>6.33</v>
      </c>
      <c r="D19" s="9" t="n">
        <v>49</v>
      </c>
      <c r="E19" s="43" t="n">
        <v>0.102</v>
      </c>
      <c r="F19" s="9" t="n">
        <v>5.2</v>
      </c>
      <c r="G19" s="9" t="n">
        <v>84</v>
      </c>
      <c r="H19" s="34" t="n">
        <f aca="false">B19*C19</f>
        <v>2804.19</v>
      </c>
      <c r="I19" s="44" t="n">
        <f aca="false">D19*Assumptions!$B$8</f>
        <v>980</v>
      </c>
      <c r="J19" s="44" t="n">
        <f aca="false">B19*Assumptions!$B$9/(1-E19)</f>
        <v>764.643652561247</v>
      </c>
      <c r="K19" s="44" t="n">
        <f aca="false">J19-B19*Assumptions!$B$9</f>
        <v>77.9936525612473</v>
      </c>
      <c r="L19" s="44" t="n">
        <f aca="false">H19*Assumptions!$B$10</f>
        <v>84.1257</v>
      </c>
      <c r="M19" s="44" t="n">
        <f aca="false">H19-I19-J19-L19-Assumptions!$B$11</f>
        <v>325.420647438753</v>
      </c>
    </row>
    <row r="20" customFormat="false" ht="15" hidden="false" customHeight="false" outlineLevel="0" collapsed="false">
      <c r="A20" s="41" t="n">
        <v>46222</v>
      </c>
      <c r="B20" s="9" t="n">
        <v>438</v>
      </c>
      <c r="C20" s="42" t="n">
        <v>6.37</v>
      </c>
      <c r="D20" s="9" t="n">
        <v>50</v>
      </c>
      <c r="E20" s="43" t="n">
        <v>0.096</v>
      </c>
      <c r="F20" s="9" t="n">
        <v>5.5</v>
      </c>
      <c r="G20" s="9" t="n">
        <v>83</v>
      </c>
      <c r="H20" s="34" t="n">
        <f aca="false">B20*C20</f>
        <v>2790.06</v>
      </c>
      <c r="I20" s="44" t="n">
        <f aca="false">D20*Assumptions!$B$8</f>
        <v>1000</v>
      </c>
      <c r="J20" s="44" t="n">
        <f aca="false">B20*Assumptions!$B$9/(1-E20)</f>
        <v>750.995575221239</v>
      </c>
      <c r="K20" s="44" t="n">
        <f aca="false">J20-B20*Assumptions!$B$9</f>
        <v>72.095575221239</v>
      </c>
      <c r="L20" s="44" t="n">
        <f aca="false">H20*Assumptions!$B$10</f>
        <v>83.7018</v>
      </c>
      <c r="M20" s="44" t="n">
        <f aca="false">H20-I20-J20-L20-Assumptions!$B$11</f>
        <v>305.362624778761</v>
      </c>
    </row>
    <row r="21" customFormat="false" ht="15" hidden="false" customHeight="false" outlineLevel="0" collapsed="false">
      <c r="A21" s="41" t="n">
        <v>46223</v>
      </c>
      <c r="B21" s="9" t="n">
        <v>425</v>
      </c>
      <c r="C21" s="42" t="n">
        <v>6.36</v>
      </c>
      <c r="D21" s="9" t="n">
        <v>45</v>
      </c>
      <c r="E21" s="43" t="n">
        <v>0.103</v>
      </c>
      <c r="F21" s="9" t="n">
        <v>4.8</v>
      </c>
      <c r="G21" s="9" t="n">
        <v>83</v>
      </c>
      <c r="H21" s="34" t="n">
        <f aca="false">B21*C21</f>
        <v>2703</v>
      </c>
      <c r="I21" s="44" t="n">
        <f aca="false">D21*Assumptions!$B$8</f>
        <v>900</v>
      </c>
      <c r="J21" s="44" t="n">
        <f aca="false">B21*Assumptions!$B$9/(1-E21)</f>
        <v>734.392419175028</v>
      </c>
      <c r="K21" s="44" t="n">
        <f aca="false">J21-B21*Assumptions!$B$9</f>
        <v>75.6424191750278</v>
      </c>
      <c r="L21" s="44" t="n">
        <f aca="false">H21*Assumptions!$B$10</f>
        <v>81.09</v>
      </c>
      <c r="M21" s="44" t="n">
        <f aca="false">H21-I21-J21-L21-Assumptions!$B$11</f>
        <v>337.517580824972</v>
      </c>
    </row>
    <row r="22" customFormat="false" ht="15" hidden="false" customHeight="false" outlineLevel="0" collapsed="false">
      <c r="A22" s="41" t="n">
        <v>46224</v>
      </c>
      <c r="B22" s="9" t="n">
        <v>422</v>
      </c>
      <c r="C22" s="42" t="n">
        <v>6.32</v>
      </c>
      <c r="D22" s="9" t="n">
        <v>46</v>
      </c>
      <c r="E22" s="43" t="n">
        <v>0.102</v>
      </c>
      <c r="F22" s="9" t="n">
        <v>4.4</v>
      </c>
      <c r="G22" s="9" t="n">
        <v>84</v>
      </c>
      <c r="H22" s="34" t="n">
        <f aca="false">B22*C22</f>
        <v>2667.04</v>
      </c>
      <c r="I22" s="44" t="n">
        <f aca="false">D22*Assumptions!$B$8</f>
        <v>920</v>
      </c>
      <c r="J22" s="44" t="n">
        <f aca="false">B22*Assumptions!$B$9/(1-E22)</f>
        <v>728.396436525612</v>
      </c>
      <c r="K22" s="44" t="n">
        <f aca="false">J22-B22*Assumptions!$B$9</f>
        <v>74.2964365256124</v>
      </c>
      <c r="L22" s="44" t="n">
        <f aca="false">H22*Assumptions!$B$10</f>
        <v>80.0112</v>
      </c>
      <c r="M22" s="44" t="n">
        <f aca="false">H22-I22-J22-L22-Assumptions!$B$11</f>
        <v>288.632363474388</v>
      </c>
    </row>
    <row r="23" customFormat="false" ht="15" hidden="false" customHeight="false" outlineLevel="0" collapsed="false">
      <c r="A23" s="41" t="n">
        <v>46225</v>
      </c>
      <c r="B23" s="9" t="n">
        <v>405</v>
      </c>
      <c r="C23" s="42" t="n">
        <v>6.36</v>
      </c>
      <c r="D23" s="9" t="n">
        <v>47</v>
      </c>
      <c r="E23" s="43" t="n">
        <v>0.107</v>
      </c>
      <c r="F23" s="9" t="n">
        <v>4.7</v>
      </c>
      <c r="G23" s="9" t="n">
        <v>83</v>
      </c>
      <c r="H23" s="34" t="n">
        <f aca="false">B23*C23</f>
        <v>2575.8</v>
      </c>
      <c r="I23" s="44" t="n">
        <f aca="false">D23*Assumptions!$B$8</f>
        <v>940</v>
      </c>
      <c r="J23" s="44" t="n">
        <f aca="false">B23*Assumptions!$B$9/(1-E23)</f>
        <v>702.967525195969</v>
      </c>
      <c r="K23" s="44" t="n">
        <f aca="false">J23-B23*Assumptions!$B$9</f>
        <v>75.2175251959686</v>
      </c>
      <c r="L23" s="44" t="n">
        <f aca="false">H23*Assumptions!$B$10</f>
        <v>77.274</v>
      </c>
      <c r="M23" s="44" t="n">
        <f aca="false">H23-I23-J23-L23-Assumptions!$B$11</f>
        <v>205.558474804032</v>
      </c>
    </row>
    <row r="24" customFormat="false" ht="15" hidden="false" customHeight="false" outlineLevel="0" collapsed="false">
      <c r="A24" s="41" t="n">
        <v>46226</v>
      </c>
      <c r="B24" s="9" t="n">
        <v>426</v>
      </c>
      <c r="C24" s="42" t="n">
        <v>6.36</v>
      </c>
      <c r="D24" s="9" t="n">
        <v>45</v>
      </c>
      <c r="E24" s="43" t="n">
        <v>0.102</v>
      </c>
      <c r="F24" s="9" t="n">
        <v>4.5</v>
      </c>
      <c r="G24" s="9" t="n">
        <v>85</v>
      </c>
      <c r="H24" s="34" t="n">
        <f aca="false">B24*C24</f>
        <v>2709.36</v>
      </c>
      <c r="I24" s="44" t="n">
        <f aca="false">D24*Assumptions!$B$8</f>
        <v>900</v>
      </c>
      <c r="J24" s="44" t="n">
        <f aca="false">B24*Assumptions!$B$9/(1-E24)</f>
        <v>735.300668151448</v>
      </c>
      <c r="K24" s="44" t="n">
        <f aca="false">J24-B24*Assumptions!$B$9</f>
        <v>75.0006681514476</v>
      </c>
      <c r="L24" s="44" t="n">
        <f aca="false">H24*Assumptions!$B$10</f>
        <v>81.2808</v>
      </c>
      <c r="M24" s="44" t="n">
        <f aca="false">H24-I24-J24-L24-Assumptions!$B$11</f>
        <v>342.778531848553</v>
      </c>
    </row>
    <row r="25" customFormat="false" ht="15" hidden="false" customHeight="false" outlineLevel="0" collapsed="false">
      <c r="A25" s="41" t="n">
        <v>46227</v>
      </c>
      <c r="B25" s="9" t="n">
        <v>424</v>
      </c>
      <c r="C25" s="42" t="n">
        <v>6.25</v>
      </c>
      <c r="D25" s="9" t="n">
        <v>46</v>
      </c>
      <c r="E25" s="43" t="n">
        <v>0.104</v>
      </c>
      <c r="F25" s="9" t="n">
        <v>4.7</v>
      </c>
      <c r="G25" s="9" t="n">
        <v>85</v>
      </c>
      <c r="H25" s="34" t="n">
        <f aca="false">B25*C25</f>
        <v>2650</v>
      </c>
      <c r="I25" s="44" t="n">
        <f aca="false">D25*Assumptions!$B$8</f>
        <v>920</v>
      </c>
      <c r="J25" s="44" t="n">
        <f aca="false">B25*Assumptions!$B$9/(1-E25)</f>
        <v>733.482142857143</v>
      </c>
      <c r="K25" s="44" t="n">
        <f aca="false">J25-B25*Assumptions!$B$9</f>
        <v>76.2821428571428</v>
      </c>
      <c r="L25" s="44" t="n">
        <f aca="false">H25*Assumptions!$B$10</f>
        <v>79.5</v>
      </c>
      <c r="M25" s="44" t="n">
        <f aca="false">H25-I25-J25-L25-Assumptions!$B$11</f>
        <v>267.017857142857</v>
      </c>
    </row>
    <row r="26" customFormat="false" ht="15" hidden="false" customHeight="false" outlineLevel="0" collapsed="false">
      <c r="A26" s="41" t="n">
        <v>46228</v>
      </c>
      <c r="B26" s="9" t="n">
        <v>442</v>
      </c>
      <c r="C26" s="42" t="n">
        <v>6.26</v>
      </c>
      <c r="D26" s="9" t="n">
        <v>50</v>
      </c>
      <c r="E26" s="43" t="n">
        <v>0.107</v>
      </c>
      <c r="F26" s="9" t="n">
        <v>5.5</v>
      </c>
      <c r="G26" s="9" t="n">
        <v>83</v>
      </c>
      <c r="H26" s="34" t="n">
        <f aca="false">B26*C26</f>
        <v>2766.92</v>
      </c>
      <c r="I26" s="44" t="n">
        <f aca="false">D26*Assumptions!$B$8</f>
        <v>1000</v>
      </c>
      <c r="J26" s="44" t="n">
        <f aca="false">B26*Assumptions!$B$9/(1-E26)</f>
        <v>767.189249720045</v>
      </c>
      <c r="K26" s="44" t="n">
        <f aca="false">J26-B26*Assumptions!$B$9</f>
        <v>82.0892497200448</v>
      </c>
      <c r="L26" s="44" t="n">
        <f aca="false">H26*Assumptions!$B$10</f>
        <v>83.0076</v>
      </c>
      <c r="M26" s="44" t="n">
        <f aca="false">H26-I26-J26-L26-Assumptions!$B$11</f>
        <v>266.723150279955</v>
      </c>
    </row>
    <row r="27" customFormat="false" ht="15" hidden="false" customHeight="false" outlineLevel="0" collapsed="false">
      <c r="A27" s="41" t="n">
        <v>46229</v>
      </c>
      <c r="B27" s="9" t="n">
        <v>456</v>
      </c>
      <c r="C27" s="42" t="n">
        <v>6.31</v>
      </c>
      <c r="D27" s="9" t="n">
        <v>50</v>
      </c>
      <c r="E27" s="43" t="n">
        <v>0.104</v>
      </c>
      <c r="F27" s="9" t="n">
        <v>5.5</v>
      </c>
      <c r="G27" s="9" t="n">
        <v>83</v>
      </c>
      <c r="H27" s="34" t="n">
        <f aca="false">B27*C27</f>
        <v>2877.36</v>
      </c>
      <c r="I27" s="44" t="n">
        <f aca="false">D27*Assumptions!$B$8</f>
        <v>1000</v>
      </c>
      <c r="J27" s="44" t="n">
        <f aca="false">B27*Assumptions!$B$9/(1-E27)</f>
        <v>788.839285714286</v>
      </c>
      <c r="K27" s="44" t="n">
        <f aca="false">J27-B27*Assumptions!$B$9</f>
        <v>82.0392857142857</v>
      </c>
      <c r="L27" s="44" t="n">
        <f aca="false">H27*Assumptions!$B$10</f>
        <v>86.3208</v>
      </c>
      <c r="M27" s="44" t="n">
        <f aca="false">H27-I27-J27-L27-Assumptions!$B$11</f>
        <v>352.199914285714</v>
      </c>
    </row>
    <row r="28" customFormat="false" ht="15" hidden="false" customHeight="false" outlineLevel="0" collapsed="false">
      <c r="A28" s="41" t="n">
        <v>46230</v>
      </c>
      <c r="B28" s="9" t="n">
        <v>416</v>
      </c>
      <c r="C28" s="42" t="n">
        <v>6.3</v>
      </c>
      <c r="D28" s="9" t="n">
        <v>46</v>
      </c>
      <c r="E28" s="43" t="n">
        <v>0.1</v>
      </c>
      <c r="F28" s="9" t="n">
        <v>4.7</v>
      </c>
      <c r="G28" s="9" t="n">
        <v>84</v>
      </c>
      <c r="H28" s="34" t="n">
        <f aca="false">B28*C28</f>
        <v>2620.8</v>
      </c>
      <c r="I28" s="44" t="n">
        <f aca="false">D28*Assumptions!$B$8</f>
        <v>920</v>
      </c>
      <c r="J28" s="44" t="n">
        <f aca="false">B28*Assumptions!$B$9/(1-E28)</f>
        <v>716.444444444445</v>
      </c>
      <c r="K28" s="44" t="n">
        <f aca="false">J28-B28*Assumptions!$B$9</f>
        <v>71.6444444444444</v>
      </c>
      <c r="L28" s="44" t="n">
        <f aca="false">H28*Assumptions!$B$10</f>
        <v>78.624</v>
      </c>
      <c r="M28" s="44" t="n">
        <f aca="false">H28-I28-J28-L28-Assumptions!$B$11</f>
        <v>255.731555555555</v>
      </c>
    </row>
    <row r="29" customFormat="false" ht="15" hidden="false" customHeight="false" outlineLevel="0" collapsed="false">
      <c r="A29" s="41" t="n">
        <v>46231</v>
      </c>
      <c r="B29" s="9" t="n">
        <v>414</v>
      </c>
      <c r="C29" s="42" t="n">
        <v>6.33</v>
      </c>
      <c r="D29" s="9" t="n">
        <v>47</v>
      </c>
      <c r="E29" s="43" t="n">
        <v>0.098</v>
      </c>
      <c r="F29" s="9" t="n">
        <v>4.8</v>
      </c>
      <c r="G29" s="9" t="n">
        <v>84</v>
      </c>
      <c r="H29" s="34" t="n">
        <f aca="false">B29*C29</f>
        <v>2620.62</v>
      </c>
      <c r="I29" s="44" t="n">
        <f aca="false">D29*Assumptions!$B$8</f>
        <v>940</v>
      </c>
      <c r="J29" s="44" t="n">
        <f aca="false">B29*Assumptions!$B$9/(1-E29)</f>
        <v>711.419068736142</v>
      </c>
      <c r="K29" s="44" t="n">
        <f aca="false">J29-B29*Assumptions!$B$9</f>
        <v>69.7190687361419</v>
      </c>
      <c r="L29" s="44" t="n">
        <f aca="false">H29*Assumptions!$B$10</f>
        <v>78.6186</v>
      </c>
      <c r="M29" s="44" t="n">
        <f aca="false">H29-I29-J29-L29-Assumptions!$B$11</f>
        <v>240.582331263858</v>
      </c>
    </row>
    <row r="30" customFormat="false" ht="15" hidden="false" customHeight="false" outlineLevel="0" collapsed="false">
      <c r="A30" s="41" t="n">
        <v>46232</v>
      </c>
      <c r="B30" s="9" t="n">
        <v>415</v>
      </c>
      <c r="C30" s="42" t="n">
        <v>6.23</v>
      </c>
      <c r="D30" s="9" t="n">
        <v>47</v>
      </c>
      <c r="E30" s="43" t="n">
        <v>0.107</v>
      </c>
      <c r="F30" s="9" t="n">
        <v>5.1</v>
      </c>
      <c r="G30" s="9" t="n">
        <v>84</v>
      </c>
      <c r="H30" s="34" t="n">
        <f aca="false">B30*C30</f>
        <v>2585.45</v>
      </c>
      <c r="I30" s="44" t="n">
        <f aca="false">D30*Assumptions!$B$8</f>
        <v>940</v>
      </c>
      <c r="J30" s="44" t="n">
        <f aca="false">B30*Assumptions!$B$9/(1-E30)</f>
        <v>720.324748040314</v>
      </c>
      <c r="K30" s="44" t="n">
        <f aca="false">J30-B30*Assumptions!$B$9</f>
        <v>77.0747480403136</v>
      </c>
      <c r="L30" s="44" t="n">
        <f aca="false">H30*Assumptions!$B$10</f>
        <v>77.5635</v>
      </c>
      <c r="M30" s="44" t="n">
        <f aca="false">H30-I30-J30-L30-Assumptions!$B$11</f>
        <v>197.561751959687</v>
      </c>
    </row>
    <row r="31" customFormat="false" ht="15" hidden="false" customHeight="false" outlineLevel="0" collapsed="false">
      <c r="A31" s="41" t="n">
        <v>46233</v>
      </c>
      <c r="B31" s="9" t="n">
        <v>430</v>
      </c>
      <c r="C31" s="42" t="n">
        <v>6.23</v>
      </c>
      <c r="D31" s="9" t="n">
        <v>46</v>
      </c>
      <c r="E31" s="43" t="n">
        <v>0.105</v>
      </c>
      <c r="F31" s="9" t="n">
        <v>5.1</v>
      </c>
      <c r="G31" s="9" t="n">
        <v>83</v>
      </c>
      <c r="H31" s="34" t="n">
        <f aca="false">B31*C31</f>
        <v>2678.9</v>
      </c>
      <c r="I31" s="44" t="n">
        <f aca="false">D31*Assumptions!$B$8</f>
        <v>920</v>
      </c>
      <c r="J31" s="44" t="n">
        <f aca="false">B31*Assumptions!$B$9/(1-E31)</f>
        <v>744.692737430168</v>
      </c>
      <c r="K31" s="44" t="n">
        <f aca="false">J31-B31*Assumptions!$B$9</f>
        <v>78.1927374301675</v>
      </c>
      <c r="L31" s="44" t="n">
        <f aca="false">H31*Assumptions!$B$10</f>
        <v>80.367</v>
      </c>
      <c r="M31" s="44" t="n">
        <f aca="false">H31-I31-J31-L31-Assumptions!$B$11</f>
        <v>283.840262569833</v>
      </c>
    </row>
    <row r="32" customFormat="false" ht="15" hidden="false" customHeight="false" outlineLevel="0" collapsed="false">
      <c r="A32" s="41" t="n">
        <v>46234</v>
      </c>
      <c r="B32" s="9" t="n">
        <v>429</v>
      </c>
      <c r="C32" s="42" t="n">
        <v>6.29</v>
      </c>
      <c r="D32" s="9" t="n">
        <v>48</v>
      </c>
      <c r="E32" s="43" t="n">
        <v>0.1</v>
      </c>
      <c r="F32" s="9" t="n">
        <v>5.1</v>
      </c>
      <c r="G32" s="9" t="n">
        <v>83</v>
      </c>
      <c r="H32" s="34" t="n">
        <f aca="false">B32*C32</f>
        <v>2698.41</v>
      </c>
      <c r="I32" s="44" t="n">
        <f aca="false">D32*Assumptions!$B$8</f>
        <v>960</v>
      </c>
      <c r="J32" s="44" t="n">
        <f aca="false">B32*Assumptions!$B$9/(1-E32)</f>
        <v>738.833333333333</v>
      </c>
      <c r="K32" s="44" t="n">
        <f aca="false">J32-B32*Assumptions!$B$9</f>
        <v>73.8833333333333</v>
      </c>
      <c r="L32" s="44" t="n">
        <f aca="false">H32*Assumptions!$B$10</f>
        <v>80.9523</v>
      </c>
      <c r="M32" s="44" t="n">
        <f aca="false">H32-I32-J32-L32-Assumptions!$B$11</f>
        <v>268.624366666666</v>
      </c>
    </row>
    <row r="33" customFormat="false" ht="15" hidden="false" customHeight="false" outlineLevel="0" collapsed="false">
      <c r="A33" s="41" t="n">
        <v>46235</v>
      </c>
      <c r="B33" s="9" t="n">
        <v>458</v>
      </c>
      <c r="C33" s="42" t="n">
        <v>6.23</v>
      </c>
      <c r="D33" s="9" t="n">
        <v>50</v>
      </c>
      <c r="E33" s="43" t="n">
        <v>0.106</v>
      </c>
      <c r="F33" s="9" t="n">
        <v>5.9</v>
      </c>
      <c r="G33" s="9" t="n">
        <v>83</v>
      </c>
      <c r="H33" s="34" t="n">
        <f aca="false">B33*C33</f>
        <v>2853.34</v>
      </c>
      <c r="I33" s="44" t="n">
        <f aca="false">D33*Assumptions!$B$8</f>
        <v>1000</v>
      </c>
      <c r="J33" s="44" t="n">
        <f aca="false">B33*Assumptions!$B$9/(1-E33)</f>
        <v>794.07158836689</v>
      </c>
      <c r="K33" s="44" t="n">
        <f aca="false">J33-B33*Assumptions!$B$9</f>
        <v>84.1715883668903</v>
      </c>
      <c r="L33" s="44" t="n">
        <f aca="false">H33*Assumptions!$B$10</f>
        <v>85.6002</v>
      </c>
      <c r="M33" s="44" t="n">
        <f aca="false">H33-I33-J33-L33-Assumptions!$B$11</f>
        <v>323.66821163311</v>
      </c>
    </row>
    <row r="34" customFormat="false" ht="15" hidden="false" customHeight="false" outlineLevel="0" collapsed="false">
      <c r="A34" s="41" t="n">
        <v>46236</v>
      </c>
      <c r="B34" s="9" t="n">
        <v>444</v>
      </c>
      <c r="C34" s="42" t="n">
        <v>6.31</v>
      </c>
      <c r="D34" s="9" t="n">
        <v>51</v>
      </c>
      <c r="E34" s="43" t="n">
        <v>0.114</v>
      </c>
      <c r="F34" s="9" t="n">
        <v>6.1</v>
      </c>
      <c r="G34" s="9" t="n">
        <v>82</v>
      </c>
      <c r="H34" s="34" t="n">
        <f aca="false">B34*C34</f>
        <v>2801.64</v>
      </c>
      <c r="I34" s="44" t="n">
        <f aca="false">D34*Assumptions!$B$8</f>
        <v>1020</v>
      </c>
      <c r="J34" s="44" t="n">
        <f aca="false">B34*Assumptions!$B$9/(1-E34)</f>
        <v>776.749435665914</v>
      </c>
      <c r="K34" s="44" t="n">
        <f aca="false">J34-B34*Assumptions!$B$9</f>
        <v>88.5494356659142</v>
      </c>
      <c r="L34" s="44" t="n">
        <f aca="false">H34*Assumptions!$B$10</f>
        <v>84.0492</v>
      </c>
      <c r="M34" s="44" t="n">
        <f aca="false">H34-I34-J34-L34-Assumptions!$B$11</f>
        <v>270.841364334086</v>
      </c>
    </row>
    <row r="35" customFormat="false" ht="15" hidden="false" customHeight="false" outlineLevel="0" collapsed="false">
      <c r="A35" s="41" t="n">
        <v>46237</v>
      </c>
      <c r="B35" s="9" t="n">
        <v>438</v>
      </c>
      <c r="C35" s="42" t="n">
        <v>6.29</v>
      </c>
      <c r="D35" s="9" t="n">
        <v>48</v>
      </c>
      <c r="E35" s="43" t="n">
        <v>0.115</v>
      </c>
      <c r="F35" s="9" t="n">
        <v>5.6</v>
      </c>
      <c r="G35" s="9" t="n">
        <v>82</v>
      </c>
      <c r="H35" s="34" t="n">
        <f aca="false">B35*C35</f>
        <v>2755.02</v>
      </c>
      <c r="I35" s="44" t="n">
        <f aca="false">D35*Assumptions!$B$8</f>
        <v>960</v>
      </c>
      <c r="J35" s="44" t="n">
        <f aca="false">B35*Assumptions!$B$9/(1-E35)</f>
        <v>767.118644067797</v>
      </c>
      <c r="K35" s="44" t="n">
        <f aca="false">J35-B35*Assumptions!$B$9</f>
        <v>88.2186440677966</v>
      </c>
      <c r="L35" s="44" t="n">
        <f aca="false">H35*Assumptions!$B$10</f>
        <v>82.6506</v>
      </c>
      <c r="M35" s="44" t="n">
        <f aca="false">H35-I35-J35-L35-Assumptions!$B$11</f>
        <v>295.250755932203</v>
      </c>
    </row>
    <row r="36" customFormat="false" ht="15" hidden="false" customHeight="false" outlineLevel="0" collapsed="false">
      <c r="A36" s="41" t="n">
        <v>46238</v>
      </c>
      <c r="B36" s="9" t="n">
        <v>426</v>
      </c>
      <c r="C36" s="42" t="n">
        <v>6.21</v>
      </c>
      <c r="D36" s="9" t="n">
        <v>47</v>
      </c>
      <c r="E36" s="43" t="n">
        <v>0.102</v>
      </c>
      <c r="F36" s="9" t="n">
        <v>5.2</v>
      </c>
      <c r="G36" s="9" t="n">
        <v>84</v>
      </c>
      <c r="H36" s="34" t="n">
        <f aca="false">B36*C36</f>
        <v>2645.46</v>
      </c>
      <c r="I36" s="44" t="n">
        <f aca="false">D36*Assumptions!$B$8</f>
        <v>940</v>
      </c>
      <c r="J36" s="44" t="n">
        <f aca="false">B36*Assumptions!$B$9/(1-E36)</f>
        <v>735.300668151448</v>
      </c>
      <c r="K36" s="44" t="n">
        <f aca="false">J36-B36*Assumptions!$B$9</f>
        <v>75.0006681514476</v>
      </c>
      <c r="L36" s="44" t="n">
        <f aca="false">H36*Assumptions!$B$10</f>
        <v>79.3638</v>
      </c>
      <c r="M36" s="44" t="n">
        <f aca="false">H36-I36-J36-L36-Assumptions!$B$11</f>
        <v>240.795531848552</v>
      </c>
    </row>
    <row r="37" customFormat="false" ht="15" hidden="false" customHeight="false" outlineLevel="0" collapsed="false">
      <c r="A37" s="41" t="n">
        <v>46239</v>
      </c>
      <c r="B37" s="9" t="n">
        <v>422</v>
      </c>
      <c r="C37" s="42" t="n">
        <v>6.28</v>
      </c>
      <c r="D37" s="9" t="n">
        <v>47</v>
      </c>
      <c r="E37" s="43" t="n">
        <v>0.108</v>
      </c>
      <c r="F37" s="9" t="n">
        <v>5.7</v>
      </c>
      <c r="G37" s="9" t="n">
        <v>84</v>
      </c>
      <c r="H37" s="34" t="n">
        <f aca="false">B37*C37</f>
        <v>2650.16</v>
      </c>
      <c r="I37" s="44" t="n">
        <f aca="false">D37*Assumptions!$B$8</f>
        <v>940</v>
      </c>
      <c r="J37" s="44" t="n">
        <f aca="false">B37*Assumptions!$B$9/(1-E37)</f>
        <v>733.295964125561</v>
      </c>
      <c r="K37" s="44" t="n">
        <f aca="false">J37-B37*Assumptions!$B$9</f>
        <v>79.1959641255605</v>
      </c>
      <c r="L37" s="44" t="n">
        <f aca="false">H37*Assumptions!$B$10</f>
        <v>79.5048</v>
      </c>
      <c r="M37" s="44" t="n">
        <f aca="false">H37-I37-J37-L37-Assumptions!$B$11</f>
        <v>247.35923587444</v>
      </c>
    </row>
    <row r="38" customFormat="false" ht="15" hidden="false" customHeight="false" outlineLevel="0" collapsed="false">
      <c r="A38" s="41" t="n">
        <v>46240</v>
      </c>
      <c r="B38" s="9" t="n">
        <v>429</v>
      </c>
      <c r="C38" s="42" t="n">
        <v>6.27</v>
      </c>
      <c r="D38" s="9" t="n">
        <v>47</v>
      </c>
      <c r="E38" s="43" t="n">
        <v>0.107</v>
      </c>
      <c r="F38" s="9" t="n">
        <v>5.8</v>
      </c>
      <c r="G38" s="9" t="n">
        <v>83</v>
      </c>
      <c r="H38" s="34" t="n">
        <f aca="false">B38*C38</f>
        <v>2689.83</v>
      </c>
      <c r="I38" s="44" t="n">
        <f aca="false">D38*Assumptions!$B$8</f>
        <v>940</v>
      </c>
      <c r="J38" s="44" t="n">
        <f aca="false">B38*Assumptions!$B$9/(1-E38)</f>
        <v>744.624860022396</v>
      </c>
      <c r="K38" s="44" t="n">
        <f aca="false">J38-B38*Assumptions!$B$9</f>
        <v>79.6748600223964</v>
      </c>
      <c r="L38" s="44" t="n">
        <f aca="false">H38*Assumptions!$B$10</f>
        <v>80.6949</v>
      </c>
      <c r="M38" s="44" t="n">
        <f aca="false">H38-I38-J38-L38-Assumptions!$B$11</f>
        <v>274.510239977604</v>
      </c>
    </row>
    <row r="39" customFormat="false" ht="15" hidden="false" customHeight="false" outlineLevel="0" collapsed="false">
      <c r="A39" s="41" t="n">
        <v>46241</v>
      </c>
      <c r="B39" s="9" t="n">
        <v>430</v>
      </c>
      <c r="C39" s="42" t="n">
        <v>6.27</v>
      </c>
      <c r="D39" s="9" t="n">
        <v>46</v>
      </c>
      <c r="E39" s="43" t="n">
        <v>0.112</v>
      </c>
      <c r="F39" s="9" t="n">
        <v>5.4</v>
      </c>
      <c r="G39" s="9" t="n">
        <v>84</v>
      </c>
      <c r="H39" s="34" t="n">
        <f aca="false">B39*C39</f>
        <v>2696.1</v>
      </c>
      <c r="I39" s="44" t="n">
        <f aca="false">D39*Assumptions!$B$8</f>
        <v>920</v>
      </c>
      <c r="J39" s="44" t="n">
        <f aca="false">B39*Assumptions!$B$9/(1-E39)</f>
        <v>750.563063063063</v>
      </c>
      <c r="K39" s="44" t="n">
        <f aca="false">J39-B39*Assumptions!$B$9</f>
        <v>84.0630630630631</v>
      </c>
      <c r="L39" s="44" t="n">
        <f aca="false">H39*Assumptions!$B$10</f>
        <v>80.883</v>
      </c>
      <c r="M39" s="44" t="n">
        <f aca="false">H39-I39-J39-L39-Assumptions!$B$11</f>
        <v>294.653936936937</v>
      </c>
    </row>
    <row r="40" customFormat="false" ht="15" hidden="false" customHeight="false" outlineLevel="0" collapsed="false">
      <c r="A40" s="41" t="n">
        <v>46242</v>
      </c>
      <c r="B40" s="9" t="n">
        <v>446</v>
      </c>
      <c r="C40" s="42" t="n">
        <v>6.29</v>
      </c>
      <c r="D40" s="9" t="n">
        <v>51</v>
      </c>
      <c r="E40" s="43" t="n">
        <v>0.106</v>
      </c>
      <c r="F40" s="9" t="n">
        <v>6.4</v>
      </c>
      <c r="G40" s="9" t="n">
        <v>83</v>
      </c>
      <c r="H40" s="34" t="n">
        <f aca="false">B40*C40</f>
        <v>2805.34</v>
      </c>
      <c r="I40" s="44" t="n">
        <f aca="false">D40*Assumptions!$B$8</f>
        <v>1020</v>
      </c>
      <c r="J40" s="44" t="n">
        <f aca="false">B40*Assumptions!$B$9/(1-E40)</f>
        <v>773.266219239374</v>
      </c>
      <c r="K40" s="44" t="n">
        <f aca="false">J40-B40*Assumptions!$B$9</f>
        <v>81.9662192393736</v>
      </c>
      <c r="L40" s="44" t="n">
        <f aca="false">H40*Assumptions!$B$10</f>
        <v>84.1602</v>
      </c>
      <c r="M40" s="44" t="n">
        <f aca="false">H40-I40-J40-L40-Assumptions!$B$11</f>
        <v>277.913580760627</v>
      </c>
    </row>
    <row r="41" customFormat="false" ht="15" hidden="false" customHeight="false" outlineLevel="0" collapsed="false">
      <c r="A41" s="41" t="n">
        <v>46243</v>
      </c>
      <c r="B41" s="9" t="n">
        <v>449</v>
      </c>
      <c r="C41" s="42" t="n">
        <v>6.18</v>
      </c>
      <c r="D41" s="9" t="n">
        <v>52</v>
      </c>
      <c r="E41" s="43" t="n">
        <v>0.108</v>
      </c>
      <c r="F41" s="9" t="n">
        <v>6.4</v>
      </c>
      <c r="G41" s="9" t="n">
        <v>83</v>
      </c>
      <c r="H41" s="34" t="n">
        <f aca="false">B41*C41</f>
        <v>2774.82</v>
      </c>
      <c r="I41" s="44" t="n">
        <f aca="false">D41*Assumptions!$B$8</f>
        <v>1040</v>
      </c>
      <c r="J41" s="44" t="n">
        <f aca="false">B41*Assumptions!$B$9/(1-E41)</f>
        <v>780.213004484305</v>
      </c>
      <c r="K41" s="44" t="n">
        <f aca="false">J41-B41*Assumptions!$B$9</f>
        <v>84.2630044843049</v>
      </c>
      <c r="L41" s="44" t="n">
        <f aca="false">H41*Assumptions!$B$10</f>
        <v>83.2446</v>
      </c>
      <c r="M41" s="44" t="n">
        <f aca="false">H41-I41-J41-L41-Assumptions!$B$11</f>
        <v>221.362395515695</v>
      </c>
    </row>
    <row r="42" customFormat="false" ht="15" hidden="false" customHeight="false" outlineLevel="0" collapsed="false">
      <c r="A42" s="41" t="n">
        <v>46244</v>
      </c>
      <c r="B42" s="9" t="n">
        <v>429</v>
      </c>
      <c r="C42" s="42" t="n">
        <v>6.23</v>
      </c>
      <c r="D42" s="9" t="n">
        <v>48</v>
      </c>
      <c r="E42" s="43" t="n">
        <v>0.119</v>
      </c>
      <c r="F42" s="9" t="n">
        <v>5.3</v>
      </c>
      <c r="G42" s="9" t="n">
        <v>83</v>
      </c>
      <c r="H42" s="34" t="n">
        <f aca="false">B42*C42</f>
        <v>2672.67</v>
      </c>
      <c r="I42" s="44" t="n">
        <f aca="false">D42*Assumptions!$B$8</f>
        <v>960</v>
      </c>
      <c r="J42" s="44" t="n">
        <f aca="false">B42*Assumptions!$B$9/(1-E42)</f>
        <v>754.767309875142</v>
      </c>
      <c r="K42" s="44" t="n">
        <f aca="false">J42-B42*Assumptions!$B$9</f>
        <v>89.8173098751419</v>
      </c>
      <c r="L42" s="44" t="n">
        <f aca="false">H42*Assumptions!$B$10</f>
        <v>80.1801</v>
      </c>
      <c r="M42" s="44" t="n">
        <f aca="false">H42-I42-J42-L42-Assumptions!$B$11</f>
        <v>227.722590124858</v>
      </c>
    </row>
    <row r="43" customFormat="false" ht="15" hidden="false" customHeight="false" outlineLevel="0" collapsed="false">
      <c r="A43" s="41" t="n">
        <v>46245</v>
      </c>
      <c r="B43" s="9" t="n">
        <v>426</v>
      </c>
      <c r="C43" s="42" t="n">
        <v>6.21</v>
      </c>
      <c r="D43" s="9" t="n">
        <v>48</v>
      </c>
      <c r="E43" s="43" t="n">
        <v>0.11</v>
      </c>
      <c r="F43" s="9" t="n">
        <v>5.4</v>
      </c>
      <c r="G43" s="9" t="n">
        <v>83</v>
      </c>
      <c r="H43" s="34" t="n">
        <f aca="false">B43*C43</f>
        <v>2645.46</v>
      </c>
      <c r="I43" s="44" t="n">
        <f aca="false">D43*Assumptions!$B$8</f>
        <v>960</v>
      </c>
      <c r="J43" s="44" t="n">
        <f aca="false">B43*Assumptions!$B$9/(1-E43)</f>
        <v>741.910112359551</v>
      </c>
      <c r="K43" s="44" t="n">
        <f aca="false">J43-B43*Assumptions!$B$9</f>
        <v>81.6101123595506</v>
      </c>
      <c r="L43" s="44" t="n">
        <f aca="false">H43*Assumptions!$B$10</f>
        <v>79.3638</v>
      </c>
      <c r="M43" s="44" t="n">
        <f aca="false">H43-I43-J43-L43-Assumptions!$B$11</f>
        <v>214.186087640449</v>
      </c>
    </row>
    <row r="44" customFormat="false" ht="15" hidden="false" customHeight="false" outlineLevel="0" collapsed="false">
      <c r="A44" s="41" t="n">
        <v>46246</v>
      </c>
      <c r="B44" s="9" t="n">
        <v>422</v>
      </c>
      <c r="C44" s="42" t="n">
        <v>6.21</v>
      </c>
      <c r="D44" s="9" t="n">
        <v>49</v>
      </c>
      <c r="E44" s="43" t="n">
        <v>0.121</v>
      </c>
      <c r="F44" s="9" t="n">
        <v>5.3</v>
      </c>
      <c r="G44" s="9" t="n">
        <v>81</v>
      </c>
      <c r="H44" s="34" t="n">
        <f aca="false">B44*C44</f>
        <v>2620.62</v>
      </c>
      <c r="I44" s="44" t="n">
        <f aca="false">D44*Assumptions!$B$8</f>
        <v>980</v>
      </c>
      <c r="J44" s="44" t="n">
        <f aca="false">B44*Assumptions!$B$9/(1-E44)</f>
        <v>744.141069397042</v>
      </c>
      <c r="K44" s="44" t="n">
        <f aca="false">J44-B44*Assumptions!$B$9</f>
        <v>90.0410693970421</v>
      </c>
      <c r="L44" s="44" t="n">
        <f aca="false">H44*Assumptions!$B$10</f>
        <v>78.6186</v>
      </c>
      <c r="M44" s="44" t="n">
        <f aca="false">H44-I44-J44-L44-Assumptions!$B$11</f>
        <v>167.860330602958</v>
      </c>
    </row>
    <row r="45" customFormat="false" ht="15" hidden="false" customHeight="false" outlineLevel="0" collapsed="false">
      <c r="A45" s="41" t="n">
        <v>46247</v>
      </c>
      <c r="B45" s="9" t="n">
        <v>428</v>
      </c>
      <c r="C45" s="42" t="n">
        <v>6.26</v>
      </c>
      <c r="D45" s="9" t="n">
        <v>49</v>
      </c>
      <c r="E45" s="43" t="n">
        <v>0.12</v>
      </c>
      <c r="F45" s="9" t="n">
        <v>5.6</v>
      </c>
      <c r="G45" s="9" t="n">
        <v>81</v>
      </c>
      <c r="H45" s="34" t="n">
        <f aca="false">B45*C45</f>
        <v>2679.28</v>
      </c>
      <c r="I45" s="44" t="n">
        <f aca="false">D45*Assumptions!$B$8</f>
        <v>980</v>
      </c>
      <c r="J45" s="44" t="n">
        <f aca="false">B45*Assumptions!$B$9/(1-E45)</f>
        <v>753.863636363636</v>
      </c>
      <c r="K45" s="44" t="n">
        <f aca="false">J45-B45*Assumptions!$B$9</f>
        <v>90.4636363636364</v>
      </c>
      <c r="L45" s="44" t="n">
        <f aca="false">H45*Assumptions!$B$10</f>
        <v>80.3784</v>
      </c>
      <c r="M45" s="44" t="n">
        <f aca="false">H45-I45-J45-L45-Assumptions!$B$11</f>
        <v>215.037963636363</v>
      </c>
    </row>
    <row r="46" customFormat="false" ht="15" hidden="false" customHeight="false" outlineLevel="0" collapsed="false">
      <c r="A46" s="41" t="n">
        <v>46248</v>
      </c>
      <c r="B46" s="9" t="n">
        <v>442</v>
      </c>
      <c r="C46" s="42" t="n">
        <v>6.23</v>
      </c>
      <c r="D46" s="9" t="n">
        <v>48</v>
      </c>
      <c r="E46" s="43" t="n">
        <v>0.122</v>
      </c>
      <c r="F46" s="9" t="n">
        <v>5.8</v>
      </c>
      <c r="G46" s="9" t="n">
        <v>81</v>
      </c>
      <c r="H46" s="34" t="n">
        <f aca="false">B46*C46</f>
        <v>2753.66</v>
      </c>
      <c r="I46" s="44" t="n">
        <f aca="false">D46*Assumptions!$B$8</f>
        <v>960</v>
      </c>
      <c r="J46" s="44" t="n">
        <f aca="false">B46*Assumptions!$B$9/(1-E46)</f>
        <v>780.296127562642</v>
      </c>
      <c r="K46" s="44" t="n">
        <f aca="false">J46-B46*Assumptions!$B$9</f>
        <v>95.1961275626424</v>
      </c>
      <c r="L46" s="44" t="n">
        <f aca="false">H46*Assumptions!$B$10</f>
        <v>82.6098</v>
      </c>
      <c r="M46" s="44" t="n">
        <f aca="false">H46-I46-J46-L46-Assumptions!$B$11</f>
        <v>280.754072437358</v>
      </c>
    </row>
    <row r="47" customFormat="false" ht="15" hidden="false" customHeight="false" outlineLevel="0" collapsed="false">
      <c r="A47" s="41" t="n">
        <v>46249</v>
      </c>
      <c r="B47" s="9" t="n">
        <v>468</v>
      </c>
      <c r="C47" s="42" t="n">
        <v>6.18</v>
      </c>
      <c r="D47" s="9" t="n">
        <v>52</v>
      </c>
      <c r="E47" s="43" t="n">
        <v>0.122</v>
      </c>
      <c r="F47" s="9" t="n">
        <v>6.3</v>
      </c>
      <c r="G47" s="9" t="n">
        <v>81</v>
      </c>
      <c r="H47" s="34" t="n">
        <f aca="false">B47*C47</f>
        <v>2892.24</v>
      </c>
      <c r="I47" s="44" t="n">
        <f aca="false">D47*Assumptions!$B$8</f>
        <v>1040</v>
      </c>
      <c r="J47" s="44" t="n">
        <f aca="false">B47*Assumptions!$B$9/(1-E47)</f>
        <v>826.19589977221</v>
      </c>
      <c r="K47" s="44" t="n">
        <f aca="false">J47-B47*Assumptions!$B$9</f>
        <v>100.79589977221</v>
      </c>
      <c r="L47" s="44" t="n">
        <f aca="false">H47*Assumptions!$B$10</f>
        <v>86.7672</v>
      </c>
      <c r="M47" s="44" t="n">
        <f aca="false">H47-I47-J47-L47-Assumptions!$B$11</f>
        <v>289.27690022779</v>
      </c>
    </row>
    <row r="48" customFormat="false" ht="15" hidden="false" customHeight="false" outlineLevel="0" collapsed="false">
      <c r="A48" s="41" t="n">
        <v>46250</v>
      </c>
      <c r="B48" s="9" t="n">
        <v>451</v>
      </c>
      <c r="C48" s="42" t="n">
        <v>6.2</v>
      </c>
      <c r="D48" s="9" t="n">
        <v>52</v>
      </c>
      <c r="E48" s="43" t="n">
        <v>0.117</v>
      </c>
      <c r="F48" s="9" t="n">
        <v>6.8</v>
      </c>
      <c r="G48" s="9" t="n">
        <v>81</v>
      </c>
      <c r="H48" s="34" t="n">
        <f aca="false">B48*C48</f>
        <v>2796.2</v>
      </c>
      <c r="I48" s="44" t="n">
        <f aca="false">D48*Assumptions!$B$8</f>
        <v>1040</v>
      </c>
      <c r="J48" s="44" t="n">
        <f aca="false">B48*Assumptions!$B$9/(1-E48)</f>
        <v>791.676104190261</v>
      </c>
      <c r="K48" s="44" t="n">
        <f aca="false">J48-B48*Assumptions!$B$9</f>
        <v>92.6261041902604</v>
      </c>
      <c r="L48" s="44" t="n">
        <f aca="false">H48*Assumptions!$B$10</f>
        <v>83.886</v>
      </c>
      <c r="M48" s="44" t="n">
        <f aca="false">H48-I48-J48-L48-Assumptions!$B$11</f>
        <v>230.63789580974</v>
      </c>
    </row>
    <row r="49" customFormat="false" ht="15" hidden="false" customHeight="false" outlineLevel="0" collapsed="false">
      <c r="A49" s="41" t="n">
        <v>46251</v>
      </c>
      <c r="B49" s="9" t="n">
        <v>440</v>
      </c>
      <c r="C49" s="42" t="n">
        <v>6.16</v>
      </c>
      <c r="D49" s="9" t="n">
        <v>48</v>
      </c>
      <c r="E49" s="43" t="n">
        <v>0.123</v>
      </c>
      <c r="F49" s="9" t="n">
        <v>6.1</v>
      </c>
      <c r="G49" s="9" t="n">
        <v>81</v>
      </c>
      <c r="H49" s="34" t="n">
        <f aca="false">B49*C49</f>
        <v>2710.4</v>
      </c>
      <c r="I49" s="44" t="n">
        <f aca="false">D49*Assumptions!$B$8</f>
        <v>960</v>
      </c>
      <c r="J49" s="44" t="n">
        <f aca="false">B49*Assumptions!$B$9/(1-E49)</f>
        <v>777.651083238313</v>
      </c>
      <c r="K49" s="44" t="n">
        <f aca="false">J49-B49*Assumptions!$B$9</f>
        <v>95.6510832383125</v>
      </c>
      <c r="L49" s="44" t="n">
        <f aca="false">H49*Assumptions!$B$10</f>
        <v>81.312</v>
      </c>
      <c r="M49" s="44" t="n">
        <f aca="false">H49-I49-J49-L49-Assumptions!$B$11</f>
        <v>241.436916761688</v>
      </c>
    </row>
    <row r="50" customFormat="false" ht="15" hidden="false" customHeight="false" outlineLevel="0" collapsed="false">
      <c r="A50" s="41" t="n">
        <v>46252</v>
      </c>
      <c r="B50" s="9" t="n">
        <v>435</v>
      </c>
      <c r="C50" s="42" t="n">
        <v>6.16</v>
      </c>
      <c r="D50" s="9" t="n">
        <v>47</v>
      </c>
      <c r="E50" s="43" t="n">
        <v>0.121</v>
      </c>
      <c r="F50" s="9" t="n">
        <v>6</v>
      </c>
      <c r="G50" s="9" t="n">
        <v>81</v>
      </c>
      <c r="H50" s="34" t="n">
        <f aca="false">B50*C50</f>
        <v>2679.6</v>
      </c>
      <c r="I50" s="44" t="n">
        <f aca="false">D50*Assumptions!$B$8</f>
        <v>940</v>
      </c>
      <c r="J50" s="44" t="n">
        <f aca="false">B50*Assumptions!$B$9/(1-E50)</f>
        <v>767.064846416382</v>
      </c>
      <c r="K50" s="44" t="n">
        <f aca="false">J50-B50*Assumptions!$B$9</f>
        <v>92.8148464163822</v>
      </c>
      <c r="L50" s="44" t="n">
        <f aca="false">H50*Assumptions!$B$10</f>
        <v>80.388</v>
      </c>
      <c r="M50" s="44" t="n">
        <f aca="false">H50-I50-J50-L50-Assumptions!$B$11</f>
        <v>242.147153583618</v>
      </c>
    </row>
    <row r="51" customFormat="false" ht="15" hidden="false" customHeight="false" outlineLevel="0" collapsed="false">
      <c r="A51" s="41" t="n">
        <v>46253</v>
      </c>
      <c r="B51" s="9" t="n">
        <v>444</v>
      </c>
      <c r="C51" s="42" t="n">
        <v>6.19</v>
      </c>
      <c r="D51" s="9" t="n">
        <v>48</v>
      </c>
      <c r="E51" s="43" t="n">
        <v>0.109</v>
      </c>
      <c r="F51" s="9" t="n">
        <v>5.6</v>
      </c>
      <c r="G51" s="9" t="n">
        <v>83</v>
      </c>
      <c r="H51" s="34" t="n">
        <f aca="false">B51*C51</f>
        <v>2748.36</v>
      </c>
      <c r="I51" s="44" t="n">
        <f aca="false">D51*Assumptions!$B$8</f>
        <v>960</v>
      </c>
      <c r="J51" s="44" t="n">
        <f aca="false">B51*Assumptions!$B$9/(1-E51)</f>
        <v>772.390572390572</v>
      </c>
      <c r="K51" s="44" t="n">
        <f aca="false">J51-B51*Assumptions!$B$9</f>
        <v>84.1905723905724</v>
      </c>
      <c r="L51" s="44" t="n">
        <f aca="false">H51*Assumptions!$B$10</f>
        <v>82.4508</v>
      </c>
      <c r="M51" s="44" t="n">
        <f aca="false">H51-I51-J51-L51-Assumptions!$B$11</f>
        <v>283.518627609428</v>
      </c>
    </row>
    <row r="52" customFormat="false" ht="15" hidden="false" customHeight="false" outlineLevel="0" collapsed="false">
      <c r="A52" s="41" t="n">
        <v>46254</v>
      </c>
      <c r="B52" s="9" t="n">
        <v>449</v>
      </c>
      <c r="C52" s="42" t="n">
        <v>6.18</v>
      </c>
      <c r="D52" s="9" t="n">
        <v>49</v>
      </c>
      <c r="E52" s="43" t="n">
        <v>0.119</v>
      </c>
      <c r="F52" s="9" t="n">
        <v>5.7</v>
      </c>
      <c r="G52" s="9" t="n">
        <v>80</v>
      </c>
      <c r="H52" s="34" t="n">
        <f aca="false">B52*C52</f>
        <v>2774.82</v>
      </c>
      <c r="I52" s="44" t="n">
        <f aca="false">D52*Assumptions!$B$8</f>
        <v>980</v>
      </c>
      <c r="J52" s="44" t="n">
        <f aca="false">B52*Assumptions!$B$9/(1-E52)</f>
        <v>789.954597048808</v>
      </c>
      <c r="K52" s="44" t="n">
        <f aca="false">J52-B52*Assumptions!$B$9</f>
        <v>94.0045970488081</v>
      </c>
      <c r="L52" s="44" t="n">
        <f aca="false">H52*Assumptions!$B$10</f>
        <v>83.2446</v>
      </c>
      <c r="M52" s="44" t="n">
        <f aca="false">H52-I52-J52-L52-Assumptions!$B$11</f>
        <v>271.620802951192</v>
      </c>
    </row>
    <row r="53" customFormat="false" ht="15" hidden="false" customHeight="false" outlineLevel="0" collapsed="false">
      <c r="A53" s="41" t="n">
        <v>46255</v>
      </c>
      <c r="B53" s="9" t="n">
        <v>435</v>
      </c>
      <c r="C53" s="42" t="n">
        <v>6.22</v>
      </c>
      <c r="D53" s="9" t="n">
        <v>49</v>
      </c>
      <c r="E53" s="43" t="n">
        <v>0.124</v>
      </c>
      <c r="F53" s="9" t="n">
        <v>6.3</v>
      </c>
      <c r="G53" s="9" t="n">
        <v>81</v>
      </c>
      <c r="H53" s="34" t="n">
        <f aca="false">B53*C53</f>
        <v>2705.7</v>
      </c>
      <c r="I53" s="44" t="n">
        <f aca="false">D53*Assumptions!$B$8</f>
        <v>980</v>
      </c>
      <c r="J53" s="44" t="n">
        <f aca="false">B53*Assumptions!$B$9/(1-E53)</f>
        <v>769.691780821918</v>
      </c>
      <c r="K53" s="44" t="n">
        <f aca="false">J53-B53*Assumptions!$B$9</f>
        <v>95.4417808219179</v>
      </c>
      <c r="L53" s="44" t="n">
        <f aca="false">H53*Assumptions!$B$10</f>
        <v>81.171</v>
      </c>
      <c r="M53" s="44" t="n">
        <f aca="false">H53-I53-J53-L53-Assumptions!$B$11</f>
        <v>224.837219178082</v>
      </c>
    </row>
    <row r="54" customFormat="false" ht="15" hidden="false" customHeight="false" outlineLevel="0" collapsed="false">
      <c r="A54" s="41" t="n">
        <v>46256</v>
      </c>
      <c r="B54" s="9" t="n">
        <v>459</v>
      </c>
      <c r="C54" s="42" t="n">
        <v>6.12</v>
      </c>
      <c r="D54" s="9" t="n">
        <v>53</v>
      </c>
      <c r="E54" s="43" t="n">
        <v>0.125</v>
      </c>
      <c r="F54" s="9" t="n">
        <v>6.7</v>
      </c>
      <c r="G54" s="9" t="n">
        <v>82</v>
      </c>
      <c r="H54" s="34" t="n">
        <f aca="false">B54*C54</f>
        <v>2809.08</v>
      </c>
      <c r="I54" s="44" t="n">
        <f aca="false">D54*Assumptions!$B$8</f>
        <v>1060</v>
      </c>
      <c r="J54" s="44" t="n">
        <f aca="false">B54*Assumptions!$B$9/(1-E54)</f>
        <v>813.085714285714</v>
      </c>
      <c r="K54" s="44" t="n">
        <f aca="false">J54-B54*Assumptions!$B$9</f>
        <v>101.635714285714</v>
      </c>
      <c r="L54" s="44" t="n">
        <f aca="false">H54*Assumptions!$B$10</f>
        <v>84.2724</v>
      </c>
      <c r="M54" s="44" t="n">
        <f aca="false">H54-I54-J54-L54-Assumptions!$B$11</f>
        <v>201.721885714286</v>
      </c>
    </row>
    <row r="55" customFormat="false" ht="15" hidden="false" customHeight="false" outlineLevel="0" collapsed="false">
      <c r="A55" s="41" t="n">
        <v>46257</v>
      </c>
      <c r="B55" s="9" t="n">
        <v>458</v>
      </c>
      <c r="C55" s="42" t="n">
        <v>6.22</v>
      </c>
      <c r="D55" s="9" t="n">
        <v>53</v>
      </c>
      <c r="E55" s="43" t="n">
        <v>0.127</v>
      </c>
      <c r="F55" s="9" t="n">
        <v>7.1</v>
      </c>
      <c r="G55" s="9" t="n">
        <v>82</v>
      </c>
      <c r="H55" s="34" t="n">
        <f aca="false">B55*C55</f>
        <v>2848.76</v>
      </c>
      <c r="I55" s="44" t="n">
        <f aca="false">D55*Assumptions!$B$8</f>
        <v>1060</v>
      </c>
      <c r="J55" s="44" t="n">
        <f aca="false">B55*Assumptions!$B$9/(1-E55)</f>
        <v>813.172966781214</v>
      </c>
      <c r="K55" s="44" t="n">
        <f aca="false">J55-B55*Assumptions!$B$9</f>
        <v>103.272966781214</v>
      </c>
      <c r="L55" s="44" t="n">
        <f aca="false">H55*Assumptions!$B$10</f>
        <v>85.4628</v>
      </c>
      <c r="M55" s="44" t="n">
        <f aca="false">H55-I55-J55-L55-Assumptions!$B$11</f>
        <v>240.124233218786</v>
      </c>
    </row>
    <row r="56" customFormat="false" ht="15" hidden="false" customHeight="false" outlineLevel="0" collapsed="false">
      <c r="A56" s="41" t="n">
        <v>46258</v>
      </c>
      <c r="B56" s="9" t="n">
        <v>431</v>
      </c>
      <c r="C56" s="42" t="n">
        <v>6.19</v>
      </c>
      <c r="D56" s="9" t="n">
        <v>48</v>
      </c>
      <c r="E56" s="43" t="n">
        <v>0.127</v>
      </c>
      <c r="F56" s="9" t="n">
        <v>6.3</v>
      </c>
      <c r="G56" s="9" t="n">
        <v>82</v>
      </c>
      <c r="H56" s="34" t="n">
        <f aca="false">B56*C56</f>
        <v>2667.89</v>
      </c>
      <c r="I56" s="44" t="n">
        <f aca="false">D56*Assumptions!$B$8</f>
        <v>960</v>
      </c>
      <c r="J56" s="44" t="n">
        <f aca="false">B56*Assumptions!$B$9/(1-E56)</f>
        <v>765.234822451317</v>
      </c>
      <c r="K56" s="44" t="n">
        <f aca="false">J56-B56*Assumptions!$B$9</f>
        <v>97.1848224513174</v>
      </c>
      <c r="L56" s="44" t="n">
        <f aca="false">H56*Assumptions!$B$10</f>
        <v>80.0367</v>
      </c>
      <c r="M56" s="44" t="n">
        <f aca="false">H56-I56-J56-L56-Assumptions!$B$11</f>
        <v>212.618477548683</v>
      </c>
    </row>
    <row r="57" customFormat="false" ht="15" hidden="false" customHeight="false" outlineLevel="0" collapsed="false">
      <c r="A57" s="41" t="n">
        <v>46259</v>
      </c>
      <c r="B57" s="9" t="n">
        <v>450</v>
      </c>
      <c r="C57" s="42" t="n">
        <v>6.13</v>
      </c>
      <c r="D57" s="9" t="n">
        <v>49</v>
      </c>
      <c r="E57" s="43" t="n">
        <v>0.114</v>
      </c>
      <c r="F57" s="9" t="n">
        <v>6.4</v>
      </c>
      <c r="G57" s="9" t="n">
        <v>82</v>
      </c>
      <c r="H57" s="34" t="n">
        <f aca="false">B57*C57</f>
        <v>2758.5</v>
      </c>
      <c r="I57" s="44" t="n">
        <f aca="false">D57*Assumptions!$B$8</f>
        <v>980</v>
      </c>
      <c r="J57" s="44" t="n">
        <f aca="false">B57*Assumptions!$B$9/(1-E57)</f>
        <v>787.2460496614</v>
      </c>
      <c r="K57" s="44" t="n">
        <f aca="false">J57-B57*Assumptions!$B$9</f>
        <v>89.7460496613995</v>
      </c>
      <c r="L57" s="44" t="n">
        <f aca="false">H57*Assumptions!$B$10</f>
        <v>82.755</v>
      </c>
      <c r="M57" s="44" t="n">
        <f aca="false">H57-I57-J57-L57-Assumptions!$B$11</f>
        <v>258.498950338601</v>
      </c>
    </row>
    <row r="58" customFormat="false" ht="15" hidden="false" customHeight="false" outlineLevel="0" collapsed="false">
      <c r="A58" s="41" t="n">
        <v>46260</v>
      </c>
      <c r="B58" s="9" t="n">
        <v>437</v>
      </c>
      <c r="C58" s="42" t="n">
        <v>6.19</v>
      </c>
      <c r="D58" s="9" t="n">
        <v>49</v>
      </c>
      <c r="E58" s="43" t="n">
        <v>0.118</v>
      </c>
      <c r="F58" s="9" t="n">
        <v>6.4</v>
      </c>
      <c r="G58" s="9" t="n">
        <v>80</v>
      </c>
      <c r="H58" s="34" t="n">
        <f aca="false">B58*C58</f>
        <v>2705.03</v>
      </c>
      <c r="I58" s="44" t="n">
        <f aca="false">D58*Assumptions!$B$8</f>
        <v>980</v>
      </c>
      <c r="J58" s="44" t="n">
        <f aca="false">B58*Assumptions!$B$9/(1-E58)</f>
        <v>767.97052154195</v>
      </c>
      <c r="K58" s="44" t="n">
        <f aca="false">J58-B58*Assumptions!$B$9</f>
        <v>90.6205215419501</v>
      </c>
      <c r="L58" s="44" t="n">
        <f aca="false">H58*Assumptions!$B$10</f>
        <v>81.1509</v>
      </c>
      <c r="M58" s="44" t="n">
        <f aca="false">H58-I58-J58-L58-Assumptions!$B$11</f>
        <v>225.90857845805</v>
      </c>
    </row>
    <row r="59" customFormat="false" ht="15" hidden="false" customHeight="false" outlineLevel="0" collapsed="false">
      <c r="A59" s="41" t="n">
        <v>46261</v>
      </c>
      <c r="B59" s="9" t="n">
        <v>433</v>
      </c>
      <c r="C59" s="42" t="n">
        <v>6.11</v>
      </c>
      <c r="D59" s="9" t="n">
        <v>49</v>
      </c>
      <c r="E59" s="43" t="n">
        <v>0.127</v>
      </c>
      <c r="F59" s="9" t="n">
        <v>6.6</v>
      </c>
      <c r="G59" s="9" t="n">
        <v>80</v>
      </c>
      <c r="H59" s="34" t="n">
        <f aca="false">B59*C59</f>
        <v>2645.63</v>
      </c>
      <c r="I59" s="44" t="n">
        <f aca="false">D59*Assumptions!$B$8</f>
        <v>980</v>
      </c>
      <c r="J59" s="44" t="n">
        <f aca="false">B59*Assumptions!$B$9/(1-E59)</f>
        <v>768.785796105384</v>
      </c>
      <c r="K59" s="44" t="n">
        <f aca="false">J59-B59*Assumptions!$B$9</f>
        <v>97.6357961053838</v>
      </c>
      <c r="L59" s="44" t="n">
        <f aca="false">H59*Assumptions!$B$10</f>
        <v>79.3689</v>
      </c>
      <c r="M59" s="44" t="n">
        <f aca="false">H59-I59-J59-L59-Assumptions!$B$11</f>
        <v>167.475303894616</v>
      </c>
    </row>
    <row r="60" customFormat="false" ht="15" hidden="false" customHeight="false" outlineLevel="0" collapsed="false">
      <c r="A60" s="41" t="n">
        <v>46262</v>
      </c>
      <c r="B60" s="9" t="n">
        <v>449</v>
      </c>
      <c r="C60" s="42" t="n">
        <v>6.13</v>
      </c>
      <c r="D60" s="9" t="n">
        <v>50</v>
      </c>
      <c r="E60" s="43" t="n">
        <v>0.123</v>
      </c>
      <c r="F60" s="9" t="n">
        <v>6.6</v>
      </c>
      <c r="G60" s="9" t="n">
        <v>80</v>
      </c>
      <c r="H60" s="34" t="n">
        <f aca="false">B60*C60</f>
        <v>2752.37</v>
      </c>
      <c r="I60" s="44" t="n">
        <f aca="false">D60*Assumptions!$B$8</f>
        <v>1000</v>
      </c>
      <c r="J60" s="44" t="n">
        <f aca="false">B60*Assumptions!$B$9/(1-E60)</f>
        <v>793.557582668187</v>
      </c>
      <c r="K60" s="44" t="n">
        <f aca="false">J60-B60*Assumptions!$B$9</f>
        <v>97.607582668187</v>
      </c>
      <c r="L60" s="44" t="n">
        <f aca="false">H60*Assumptions!$B$10</f>
        <v>82.5711</v>
      </c>
      <c r="M60" s="44" t="n">
        <f aca="false">H60-I60-J60-L60-Assumptions!$B$11</f>
        <v>226.241317331813</v>
      </c>
    </row>
    <row r="61" customFormat="false" ht="15" hidden="false" customHeight="false" outlineLevel="0" collapsed="false">
      <c r="A61" s="41" t="n">
        <v>46263</v>
      </c>
      <c r="B61" s="9" t="n">
        <v>482</v>
      </c>
      <c r="C61" s="42" t="n">
        <v>6.1</v>
      </c>
      <c r="D61" s="9" t="n">
        <v>54</v>
      </c>
      <c r="E61" s="43" t="n">
        <v>0.119</v>
      </c>
      <c r="F61" s="9" t="n">
        <v>6.8</v>
      </c>
      <c r="G61" s="9" t="n">
        <v>81</v>
      </c>
      <c r="H61" s="34" t="n">
        <f aca="false">B61*C61</f>
        <v>2940.2</v>
      </c>
      <c r="I61" s="44" t="n">
        <f aca="false">D61*Assumptions!$B$8</f>
        <v>1080</v>
      </c>
      <c r="J61" s="44" t="n">
        <f aca="false">B61*Assumptions!$B$9/(1-E61)</f>
        <v>848.013620885358</v>
      </c>
      <c r="K61" s="44" t="n">
        <f aca="false">J61-B61*Assumptions!$B$9</f>
        <v>100.913620885358</v>
      </c>
      <c r="L61" s="44" t="n">
        <f aca="false">H61*Assumptions!$B$10</f>
        <v>88.206</v>
      </c>
      <c r="M61" s="44" t="n">
        <f aca="false">H61-I61-J61-L61-Assumptions!$B$11</f>
        <v>273.980379114642</v>
      </c>
    </row>
    <row r="62" customFormat="false" ht="15" hidden="false" customHeight="false" outlineLevel="0" collapsed="false">
      <c r="A62" s="41" t="n">
        <v>46264</v>
      </c>
      <c r="B62" s="9" t="n">
        <v>477</v>
      </c>
      <c r="C62" s="42" t="n">
        <v>6.11</v>
      </c>
      <c r="D62" s="9" t="n">
        <v>54</v>
      </c>
      <c r="E62" s="43" t="n">
        <v>0.124</v>
      </c>
      <c r="F62" s="9" t="n">
        <v>7</v>
      </c>
      <c r="G62" s="9" t="n">
        <v>81</v>
      </c>
      <c r="H62" s="34" t="n">
        <f aca="false">B62*C62</f>
        <v>2914.47</v>
      </c>
      <c r="I62" s="44" t="n">
        <f aca="false">D62*Assumptions!$B$8</f>
        <v>1080</v>
      </c>
      <c r="J62" s="44" t="n">
        <f aca="false">B62*Assumptions!$B$9/(1-E62)</f>
        <v>844.006849315069</v>
      </c>
      <c r="K62" s="44" t="n">
        <f aca="false">J62-B62*Assumptions!$B$9</f>
        <v>104.656849315068</v>
      </c>
      <c r="L62" s="44" t="n">
        <f aca="false">H62*Assumptions!$B$10</f>
        <v>87.4341</v>
      </c>
      <c r="M62" s="44" t="n">
        <f aca="false">H62-I62-J62-L62-Assumptions!$B$11</f>
        <v>253.029050684932</v>
      </c>
    </row>
    <row r="63" customFormat="false" ht="15" hidden="false" customHeight="false" outlineLevel="0" collapsed="false">
      <c r="A63" s="41" t="n">
        <v>46265</v>
      </c>
      <c r="B63" s="9" t="n">
        <v>442</v>
      </c>
      <c r="C63" s="42" t="n">
        <v>6.15</v>
      </c>
      <c r="D63" s="9" t="n">
        <v>48</v>
      </c>
      <c r="E63" s="43" t="n">
        <v>0.131</v>
      </c>
      <c r="F63" s="9" t="n">
        <v>6.4</v>
      </c>
      <c r="G63" s="9" t="n">
        <v>81</v>
      </c>
      <c r="H63" s="34" t="n">
        <f aca="false">B63*C63</f>
        <v>2718.3</v>
      </c>
      <c r="I63" s="44" t="n">
        <f aca="false">D63*Assumptions!$B$8</f>
        <v>960</v>
      </c>
      <c r="J63" s="44" t="n">
        <f aca="false">B63*Assumptions!$B$9/(1-E63)</f>
        <v>788.377445339471</v>
      </c>
      <c r="K63" s="44" t="n">
        <f aca="false">J63-B63*Assumptions!$B$9</f>
        <v>103.277445339471</v>
      </c>
      <c r="L63" s="44" t="n">
        <f aca="false">H63*Assumptions!$B$10</f>
        <v>81.549</v>
      </c>
      <c r="M63" s="44" t="n">
        <f aca="false">H63-I63-J63-L63-Assumptions!$B$11</f>
        <v>238.37355466053</v>
      </c>
    </row>
    <row r="64" customFormat="false" ht="15" hidden="false" customHeight="false" outlineLevel="0" collapsed="false">
      <c r="A64" s="41" t="n">
        <v>46266</v>
      </c>
      <c r="B64" s="9" t="n">
        <v>454</v>
      </c>
      <c r="C64" s="42" t="n">
        <v>6.14</v>
      </c>
      <c r="D64" s="9" t="n">
        <v>49</v>
      </c>
      <c r="E64" s="43" t="n">
        <v>0.118</v>
      </c>
      <c r="F64" s="9" t="n">
        <v>6.5</v>
      </c>
      <c r="G64" s="9" t="n">
        <v>80</v>
      </c>
      <c r="H64" s="34" t="n">
        <f aca="false">B64*C64</f>
        <v>2787.56</v>
      </c>
      <c r="I64" s="44" t="n">
        <f aca="false">D64*Assumptions!$B$8</f>
        <v>980</v>
      </c>
      <c r="J64" s="44" t="n">
        <f aca="false">B64*Assumptions!$B$9/(1-E64)</f>
        <v>797.845804988662</v>
      </c>
      <c r="K64" s="44" t="n">
        <f aca="false">J64-B64*Assumptions!$B$9</f>
        <v>94.1458049886621</v>
      </c>
      <c r="L64" s="44" t="n">
        <f aca="false">H64*Assumptions!$B$10</f>
        <v>83.6268</v>
      </c>
      <c r="M64" s="44" t="n">
        <f aca="false">H64-I64-J64-L64-Assumptions!$B$11</f>
        <v>276.087395011338</v>
      </c>
    </row>
    <row r="65" customFormat="false" ht="15" hidden="false" customHeight="false" outlineLevel="0" collapsed="false">
      <c r="A65" s="41" t="n">
        <v>46267</v>
      </c>
      <c r="B65" s="9" t="n">
        <v>445</v>
      </c>
      <c r="C65" s="42" t="n">
        <v>6.16</v>
      </c>
      <c r="D65" s="9" t="n">
        <v>50</v>
      </c>
      <c r="E65" s="43" t="n">
        <v>0.122</v>
      </c>
      <c r="F65" s="9" t="n">
        <v>6.3</v>
      </c>
      <c r="G65" s="9" t="n">
        <v>80</v>
      </c>
      <c r="H65" s="34" t="n">
        <f aca="false">B65*C65</f>
        <v>2741.2</v>
      </c>
      <c r="I65" s="44" t="n">
        <f aca="false">D65*Assumptions!$B$8</f>
        <v>1000</v>
      </c>
      <c r="J65" s="44" t="n">
        <f aca="false">B65*Assumptions!$B$9/(1-E65)</f>
        <v>785.592255125285</v>
      </c>
      <c r="K65" s="44" t="n">
        <f aca="false">J65-B65*Assumptions!$B$9</f>
        <v>95.8422551252847</v>
      </c>
      <c r="L65" s="44" t="n">
        <f aca="false">H65*Assumptions!$B$10</f>
        <v>82.236</v>
      </c>
      <c r="M65" s="44" t="n">
        <f aca="false">H65-I65-J65-L65-Assumptions!$B$11</f>
        <v>223.371744874716</v>
      </c>
    </row>
    <row r="66" customFormat="false" ht="15" hidden="false" customHeight="false" outlineLevel="0" collapsed="false">
      <c r="A66" s="41" t="n">
        <v>46268</v>
      </c>
      <c r="B66" s="9" t="n">
        <v>447</v>
      </c>
      <c r="C66" s="42" t="n">
        <v>6.09</v>
      </c>
      <c r="D66" s="9" t="n">
        <v>49</v>
      </c>
      <c r="E66" s="43" t="n">
        <v>0.124</v>
      </c>
      <c r="F66" s="9" t="n">
        <v>6.8</v>
      </c>
      <c r="G66" s="9" t="n">
        <v>81</v>
      </c>
      <c r="H66" s="34" t="n">
        <f aca="false">B66*C66</f>
        <v>2722.23</v>
      </c>
      <c r="I66" s="44" t="n">
        <f aca="false">D66*Assumptions!$B$8</f>
        <v>980</v>
      </c>
      <c r="J66" s="44" t="n">
        <f aca="false">B66*Assumptions!$B$9/(1-E66)</f>
        <v>790.924657534247</v>
      </c>
      <c r="K66" s="44" t="n">
        <f aca="false">J66-B66*Assumptions!$B$9</f>
        <v>98.0746575342466</v>
      </c>
      <c r="L66" s="44" t="n">
        <f aca="false">H66*Assumptions!$B$10</f>
        <v>81.6669</v>
      </c>
      <c r="M66" s="44" t="n">
        <f aca="false">H66-I66-J66-L66-Assumptions!$B$11</f>
        <v>219.638442465753</v>
      </c>
    </row>
    <row r="67" customFormat="false" ht="15" hidden="false" customHeight="false" outlineLevel="0" collapsed="false">
      <c r="A67" s="41" t="n">
        <v>46269</v>
      </c>
      <c r="B67" s="9" t="n">
        <v>460</v>
      </c>
      <c r="C67" s="42" t="n">
        <v>6.12</v>
      </c>
      <c r="D67" s="9" t="n">
        <v>49</v>
      </c>
      <c r="E67" s="43" t="n">
        <v>0.127</v>
      </c>
      <c r="F67" s="9" t="n">
        <v>6.1</v>
      </c>
      <c r="G67" s="9" t="n">
        <v>80</v>
      </c>
      <c r="H67" s="34" t="n">
        <f aca="false">B67*C67</f>
        <v>2815.2</v>
      </c>
      <c r="I67" s="44" t="n">
        <f aca="false">D67*Assumptions!$B$8</f>
        <v>980</v>
      </c>
      <c r="J67" s="44" t="n">
        <f aca="false">B67*Assumptions!$B$9/(1-E67)</f>
        <v>816.723940435281</v>
      </c>
      <c r="K67" s="44" t="n">
        <f aca="false">J67-B67*Assumptions!$B$9</f>
        <v>103.723940435281</v>
      </c>
      <c r="L67" s="44" t="n">
        <f aca="false">H67*Assumptions!$B$10</f>
        <v>84.456</v>
      </c>
      <c r="M67" s="44" t="n">
        <f aca="false">H67-I67-J67-L67-Assumptions!$B$11</f>
        <v>284.02005956472</v>
      </c>
    </row>
    <row r="68" customFormat="false" ht="15" hidden="false" customHeight="false" outlineLevel="0" collapsed="false">
      <c r="A68" s="41" t="n">
        <v>46270</v>
      </c>
      <c r="B68" s="9" t="n">
        <v>475</v>
      </c>
      <c r="C68" s="42" t="n">
        <v>6.12</v>
      </c>
      <c r="D68" s="9" t="n">
        <v>54</v>
      </c>
      <c r="E68" s="43" t="n">
        <v>0.126</v>
      </c>
      <c r="F68" s="9" t="n">
        <v>7.3</v>
      </c>
      <c r="G68" s="9" t="n">
        <v>79</v>
      </c>
      <c r="H68" s="34" t="n">
        <f aca="false">B68*C68</f>
        <v>2907</v>
      </c>
      <c r="I68" s="44" t="n">
        <f aca="false">D68*Assumptions!$B$8</f>
        <v>1080</v>
      </c>
      <c r="J68" s="44" t="n">
        <f aca="false">B68*Assumptions!$B$9/(1-E68)</f>
        <v>842.391304347826</v>
      </c>
      <c r="K68" s="44" t="n">
        <f aca="false">J68-B68*Assumptions!$B$9</f>
        <v>106.141304347826</v>
      </c>
      <c r="L68" s="44" t="n">
        <f aca="false">H68*Assumptions!$B$10</f>
        <v>87.21</v>
      </c>
      <c r="M68" s="44" t="n">
        <f aca="false">H68-I68-J68-L68-Assumptions!$B$11</f>
        <v>247.398695652174</v>
      </c>
    </row>
    <row r="69" customFormat="false" ht="15" hidden="false" customHeight="false" outlineLevel="0" collapsed="false">
      <c r="A69" s="41" t="n">
        <v>46271</v>
      </c>
      <c r="B69" s="9" t="n">
        <v>476</v>
      </c>
      <c r="C69" s="42" t="n">
        <v>6.15</v>
      </c>
      <c r="D69" s="9" t="n">
        <v>55</v>
      </c>
      <c r="E69" s="43" t="n">
        <v>0.122</v>
      </c>
      <c r="F69" s="9" t="n">
        <v>7.1</v>
      </c>
      <c r="G69" s="9" t="n">
        <v>80</v>
      </c>
      <c r="H69" s="34" t="n">
        <f aca="false">B69*C69</f>
        <v>2927.4</v>
      </c>
      <c r="I69" s="44" t="n">
        <f aca="false">D69*Assumptions!$B$8</f>
        <v>1100</v>
      </c>
      <c r="J69" s="44" t="n">
        <f aca="false">B69*Assumptions!$B$9/(1-E69)</f>
        <v>840.318906605923</v>
      </c>
      <c r="K69" s="44" t="n">
        <f aca="false">J69-B69*Assumptions!$B$9</f>
        <v>102.518906605923</v>
      </c>
      <c r="L69" s="44" t="n">
        <f aca="false">H69*Assumptions!$B$10</f>
        <v>87.822</v>
      </c>
      <c r="M69" s="44" t="n">
        <f aca="false">H69-I69-J69-L69-Assumptions!$B$11</f>
        <v>249.259093394077</v>
      </c>
    </row>
    <row r="70" customFormat="false" ht="15" hidden="false" customHeight="false" outlineLevel="0" collapsed="false">
      <c r="A70" s="41" t="n">
        <v>46272</v>
      </c>
      <c r="B70" s="9" t="n">
        <v>456</v>
      </c>
      <c r="C70" s="42" t="n">
        <v>6.08</v>
      </c>
      <c r="D70" s="9" t="n">
        <v>51</v>
      </c>
      <c r="E70" s="43" t="n">
        <v>0.132</v>
      </c>
      <c r="F70" s="9" t="n">
        <v>6.8</v>
      </c>
      <c r="G70" s="9" t="n">
        <v>79</v>
      </c>
      <c r="H70" s="34" t="n">
        <f aca="false">B70*C70</f>
        <v>2772.48</v>
      </c>
      <c r="I70" s="44" t="n">
        <f aca="false">D70*Assumptions!$B$8</f>
        <v>1020</v>
      </c>
      <c r="J70" s="44" t="n">
        <f aca="false">B70*Assumptions!$B$9/(1-E70)</f>
        <v>814.285714285714</v>
      </c>
      <c r="K70" s="44" t="n">
        <f aca="false">J70-B70*Assumptions!$B$9</f>
        <v>107.485714285714</v>
      </c>
      <c r="L70" s="44" t="n">
        <f aca="false">H70*Assumptions!$B$10</f>
        <v>83.1744</v>
      </c>
      <c r="M70" s="44" t="n">
        <f aca="false">H70-I70-J70-L70-Assumptions!$B$11</f>
        <v>205.019885714286</v>
      </c>
    </row>
    <row r="71" customFormat="false" ht="15" hidden="false" customHeight="false" outlineLevel="0" collapsed="false">
      <c r="A71" s="41" t="n">
        <v>46273</v>
      </c>
      <c r="B71" s="9" t="n">
        <v>446</v>
      </c>
      <c r="C71" s="42" t="n">
        <v>6.04</v>
      </c>
      <c r="D71" s="9" t="n">
        <v>50</v>
      </c>
      <c r="E71" s="43" t="n">
        <v>0.128</v>
      </c>
      <c r="F71" s="9" t="n">
        <v>7</v>
      </c>
      <c r="G71" s="9" t="n">
        <v>79</v>
      </c>
      <c r="H71" s="34" t="n">
        <f aca="false">B71*C71</f>
        <v>2693.84</v>
      </c>
      <c r="I71" s="44" t="n">
        <f aca="false">D71*Assumptions!$B$8</f>
        <v>1000</v>
      </c>
      <c r="J71" s="44" t="n">
        <f aca="false">B71*Assumptions!$B$9/(1-E71)</f>
        <v>792.775229357798</v>
      </c>
      <c r="K71" s="44" t="n">
        <f aca="false">J71-B71*Assumptions!$B$9</f>
        <v>101.475229357798</v>
      </c>
      <c r="L71" s="44" t="n">
        <f aca="false">H71*Assumptions!$B$10</f>
        <v>80.8152</v>
      </c>
      <c r="M71" s="44" t="n">
        <f aca="false">H71-I71-J71-L71-Assumptions!$B$11</f>
        <v>170.249570642202</v>
      </c>
    </row>
    <row r="72" customFormat="false" ht="15" hidden="false" customHeight="false" outlineLevel="0" collapsed="false">
      <c r="A72" s="41" t="n">
        <v>46274</v>
      </c>
      <c r="B72" s="9" t="n">
        <v>452</v>
      </c>
      <c r="C72" s="42" t="n">
        <v>6.1</v>
      </c>
      <c r="D72" s="9" t="n">
        <v>50</v>
      </c>
      <c r="E72" s="43" t="n">
        <v>0.132</v>
      </c>
      <c r="F72" s="9" t="n">
        <v>6.7</v>
      </c>
      <c r="G72" s="9" t="n">
        <v>79</v>
      </c>
      <c r="H72" s="34" t="n">
        <f aca="false">B72*C72</f>
        <v>2757.2</v>
      </c>
      <c r="I72" s="44" t="n">
        <f aca="false">D72*Assumptions!$B$8</f>
        <v>1000</v>
      </c>
      <c r="J72" s="44" t="n">
        <f aca="false">B72*Assumptions!$B$9/(1-E72)</f>
        <v>807.142857142857</v>
      </c>
      <c r="K72" s="44" t="n">
        <f aca="false">J72-B72*Assumptions!$B$9</f>
        <v>106.542857142857</v>
      </c>
      <c r="L72" s="44" t="n">
        <f aca="false">H72*Assumptions!$B$10</f>
        <v>82.716</v>
      </c>
      <c r="M72" s="44" t="n">
        <f aca="false">H72-I72-J72-L72-Assumptions!$B$11</f>
        <v>217.341142857143</v>
      </c>
    </row>
    <row r="73" customFormat="false" ht="15" hidden="false" customHeight="false" outlineLevel="0" collapsed="false">
      <c r="A73" s="41" t="n">
        <v>46275</v>
      </c>
      <c r="B73" s="9" t="n">
        <v>459</v>
      </c>
      <c r="C73" s="42" t="n">
        <v>6.03</v>
      </c>
      <c r="D73" s="9" t="n">
        <v>51</v>
      </c>
      <c r="E73" s="43" t="n">
        <v>0.134</v>
      </c>
      <c r="F73" s="9" t="n">
        <v>6.4</v>
      </c>
      <c r="G73" s="9" t="n">
        <v>79</v>
      </c>
      <c r="H73" s="34" t="n">
        <f aca="false">B73*C73</f>
        <v>2767.77</v>
      </c>
      <c r="I73" s="44" t="n">
        <f aca="false">D73*Assumptions!$B$8</f>
        <v>1020</v>
      </c>
      <c r="J73" s="44" t="n">
        <f aca="false">B73*Assumptions!$B$9/(1-E73)</f>
        <v>821.535796766744</v>
      </c>
      <c r="K73" s="44" t="n">
        <f aca="false">J73-B73*Assumptions!$B$9</f>
        <v>110.085796766744</v>
      </c>
      <c r="L73" s="44" t="n">
        <f aca="false">H73*Assumptions!$B$10</f>
        <v>83.0331</v>
      </c>
      <c r="M73" s="44" t="n">
        <f aca="false">H73-I73-J73-L73-Assumptions!$B$11</f>
        <v>193.201103233256</v>
      </c>
    </row>
    <row r="74" customFormat="false" ht="15" hidden="false" customHeight="false" outlineLevel="0" collapsed="false">
      <c r="A74" s="41" t="n">
        <v>46276</v>
      </c>
      <c r="B74" s="9" t="n">
        <v>448</v>
      </c>
      <c r="C74" s="42" t="n">
        <v>6.13</v>
      </c>
      <c r="D74" s="9" t="n">
        <v>50</v>
      </c>
      <c r="E74" s="43" t="n">
        <v>0.123</v>
      </c>
      <c r="F74" s="9" t="n">
        <v>6.6</v>
      </c>
      <c r="G74" s="9" t="n">
        <v>81</v>
      </c>
      <c r="H74" s="34" t="n">
        <f aca="false">B74*C74</f>
        <v>2746.24</v>
      </c>
      <c r="I74" s="44" t="n">
        <f aca="false">D74*Assumptions!$B$8</f>
        <v>1000</v>
      </c>
      <c r="J74" s="44" t="n">
        <f aca="false">B74*Assumptions!$B$9/(1-E74)</f>
        <v>791.790193842645</v>
      </c>
      <c r="K74" s="44" t="n">
        <f aca="false">J74-B74*Assumptions!$B$9</f>
        <v>97.3901938426454</v>
      </c>
      <c r="L74" s="44" t="n">
        <f aca="false">H74*Assumptions!$B$10</f>
        <v>82.3872</v>
      </c>
      <c r="M74" s="44" t="n">
        <f aca="false">H74-I74-J74-L74-Assumptions!$B$11</f>
        <v>222.062606157354</v>
      </c>
    </row>
    <row r="75" customFormat="false" ht="15" hidden="false" customHeight="false" outlineLevel="0" collapsed="false">
      <c r="A75" s="41" t="n">
        <v>46277</v>
      </c>
      <c r="B75" s="9" t="n">
        <v>481</v>
      </c>
      <c r="C75" s="42" t="n">
        <v>6.11</v>
      </c>
      <c r="D75" s="9" t="n">
        <v>55</v>
      </c>
      <c r="E75" s="43" t="n">
        <v>0.138</v>
      </c>
      <c r="F75" s="9" t="n">
        <v>7.7</v>
      </c>
      <c r="G75" s="9" t="n">
        <v>81</v>
      </c>
      <c r="H75" s="34" t="n">
        <f aca="false">B75*C75</f>
        <v>2938.91</v>
      </c>
      <c r="I75" s="44" t="n">
        <f aca="false">D75*Assumptions!$B$8</f>
        <v>1100</v>
      </c>
      <c r="J75" s="44" t="n">
        <f aca="false">B75*Assumptions!$B$9/(1-E75)</f>
        <v>864.907192575406</v>
      </c>
      <c r="K75" s="44" t="n">
        <f aca="false">J75-B75*Assumptions!$B$9</f>
        <v>119.357192575406</v>
      </c>
      <c r="L75" s="44" t="n">
        <f aca="false">H75*Assumptions!$B$10</f>
        <v>88.1673</v>
      </c>
      <c r="M75" s="44" t="n">
        <f aca="false">H75-I75-J75-L75-Assumptions!$B$11</f>
        <v>235.835507424594</v>
      </c>
    </row>
    <row r="76" customFormat="false" ht="15" hidden="false" customHeight="false" outlineLevel="0" collapsed="false">
      <c r="A76" s="41" t="n">
        <v>46278</v>
      </c>
      <c r="B76" s="9" t="n">
        <v>492</v>
      </c>
      <c r="C76" s="42" t="n">
        <v>6.08</v>
      </c>
      <c r="D76" s="9" t="n">
        <v>55</v>
      </c>
      <c r="E76" s="43" t="n">
        <v>0.131</v>
      </c>
      <c r="F76" s="9" t="n">
        <v>7.9</v>
      </c>
      <c r="G76" s="9" t="n">
        <v>80</v>
      </c>
      <c r="H76" s="34" t="n">
        <f aca="false">B76*C76</f>
        <v>2991.36</v>
      </c>
      <c r="I76" s="44" t="n">
        <f aca="false">D76*Assumptions!$B$8</f>
        <v>1100</v>
      </c>
      <c r="J76" s="44" t="n">
        <f aca="false">B76*Assumptions!$B$9/(1-E76)</f>
        <v>877.560414269275</v>
      </c>
      <c r="K76" s="44" t="n">
        <f aca="false">J76-B76*Assumptions!$B$9</f>
        <v>114.960414269275</v>
      </c>
      <c r="L76" s="44" t="n">
        <f aca="false">H76*Assumptions!$B$10</f>
        <v>89.7408</v>
      </c>
      <c r="M76" s="44" t="n">
        <f aca="false">H76-I76-J76-L76-Assumptions!$B$11</f>
        <v>274.058785730725</v>
      </c>
    </row>
    <row r="77" customFormat="false" ht="15" hidden="false" customHeight="false" outlineLevel="0" collapsed="false">
      <c r="A77" s="41" t="n">
        <v>46279</v>
      </c>
      <c r="B77" s="9" t="n">
        <v>468</v>
      </c>
      <c r="C77" s="42" t="n">
        <v>6.1</v>
      </c>
      <c r="D77" s="9" t="n">
        <v>51</v>
      </c>
      <c r="E77" s="43" t="n">
        <v>0.128</v>
      </c>
      <c r="F77" s="9" t="n">
        <v>6.7</v>
      </c>
      <c r="G77" s="9" t="n">
        <v>80</v>
      </c>
      <c r="H77" s="34" t="n">
        <f aca="false">B77*C77</f>
        <v>2854.8</v>
      </c>
      <c r="I77" s="44" t="n">
        <f aca="false">D77*Assumptions!$B$8</f>
        <v>1020</v>
      </c>
      <c r="J77" s="44" t="n">
        <f aca="false">B77*Assumptions!$B$9/(1-E77)</f>
        <v>831.880733944954</v>
      </c>
      <c r="K77" s="44" t="n">
        <f aca="false">J77-B77*Assumptions!$B$9</f>
        <v>106.480733944954</v>
      </c>
      <c r="L77" s="44" t="n">
        <f aca="false">H77*Assumptions!$B$10</f>
        <v>85.644</v>
      </c>
      <c r="M77" s="44" t="n">
        <f aca="false">H77-I77-J77-L77-Assumptions!$B$11</f>
        <v>267.275266055046</v>
      </c>
    </row>
    <row r="78" customFormat="false" ht="15" hidden="false" customHeight="false" outlineLevel="0" collapsed="false">
      <c r="A78" s="41" t="n">
        <v>46280</v>
      </c>
      <c r="B78" s="9" t="n">
        <v>465</v>
      </c>
      <c r="C78" s="42" t="n">
        <v>6.06</v>
      </c>
      <c r="D78" s="9" t="n">
        <v>51</v>
      </c>
      <c r="E78" s="43" t="n">
        <v>0.129</v>
      </c>
      <c r="F78" s="9" t="n">
        <v>6.6</v>
      </c>
      <c r="G78" s="9" t="n">
        <v>79</v>
      </c>
      <c r="H78" s="34" t="n">
        <f aca="false">B78*C78</f>
        <v>2817.9</v>
      </c>
      <c r="I78" s="44" t="n">
        <f aca="false">D78*Assumptions!$B$8</f>
        <v>1020</v>
      </c>
      <c r="J78" s="44" t="n">
        <f aca="false">B78*Assumptions!$B$9/(1-E78)</f>
        <v>827.497129735936</v>
      </c>
      <c r="K78" s="44" t="n">
        <f aca="false">J78-B78*Assumptions!$B$9</f>
        <v>106.747129735936</v>
      </c>
      <c r="L78" s="44" t="n">
        <f aca="false">H78*Assumptions!$B$10</f>
        <v>84.537</v>
      </c>
      <c r="M78" s="44" t="n">
        <f aca="false">H78-I78-J78-L78-Assumptions!$B$11</f>
        <v>235.865870264064</v>
      </c>
    </row>
    <row r="79" customFormat="false" ht="15" hidden="false" customHeight="false" outlineLevel="0" collapsed="false">
      <c r="A79" s="41" t="n">
        <v>46281</v>
      </c>
      <c r="B79" s="9" t="n">
        <v>454</v>
      </c>
      <c r="C79" s="42" t="n">
        <v>6.04</v>
      </c>
      <c r="D79" s="9" t="n">
        <v>51</v>
      </c>
      <c r="E79" s="43" t="n">
        <v>0.127</v>
      </c>
      <c r="F79" s="9" t="n">
        <v>6.8</v>
      </c>
      <c r="G79" s="9" t="n">
        <v>80</v>
      </c>
      <c r="H79" s="34" t="n">
        <f aca="false">B79*C79</f>
        <v>2742.16</v>
      </c>
      <c r="I79" s="44" t="n">
        <f aca="false">D79*Assumptions!$B$8</f>
        <v>1020</v>
      </c>
      <c r="J79" s="44" t="n">
        <f aca="false">B79*Assumptions!$B$9/(1-E79)</f>
        <v>806.071019473081</v>
      </c>
      <c r="K79" s="44" t="n">
        <f aca="false">J79-B79*Assumptions!$B$9</f>
        <v>102.371019473081</v>
      </c>
      <c r="L79" s="44" t="n">
        <f aca="false">H79*Assumptions!$B$10</f>
        <v>82.2648</v>
      </c>
      <c r="M79" s="44" t="n">
        <f aca="false">H79-I79-J79-L79-Assumptions!$B$11</f>
        <v>183.824180526918</v>
      </c>
    </row>
    <row r="80" customFormat="false" ht="15" hidden="false" customHeight="false" outlineLevel="0" collapsed="false">
      <c r="A80" s="41" t="n">
        <v>46282</v>
      </c>
      <c r="B80" s="9" t="n">
        <v>466</v>
      </c>
      <c r="C80" s="42" t="n">
        <v>6</v>
      </c>
      <c r="D80" s="9" t="n">
        <v>51</v>
      </c>
      <c r="E80" s="43" t="n">
        <v>0.134</v>
      </c>
      <c r="F80" s="9" t="n">
        <v>7</v>
      </c>
      <c r="G80" s="9" t="n">
        <v>78</v>
      </c>
      <c r="H80" s="34" t="n">
        <f aca="false">B80*C80</f>
        <v>2796</v>
      </c>
      <c r="I80" s="44" t="n">
        <f aca="false">D80*Assumptions!$B$8</f>
        <v>1020</v>
      </c>
      <c r="J80" s="44" t="n">
        <f aca="false">B80*Assumptions!$B$9/(1-E80)</f>
        <v>834.064665127021</v>
      </c>
      <c r="K80" s="44" t="n">
        <f aca="false">J80-B80*Assumptions!$B$9</f>
        <v>111.764665127021</v>
      </c>
      <c r="L80" s="44" t="n">
        <f aca="false">H80*Assumptions!$B$10</f>
        <v>83.88</v>
      </c>
      <c r="M80" s="44" t="n">
        <f aca="false">H80-I80-J80-L80-Assumptions!$B$11</f>
        <v>208.055334872979</v>
      </c>
    </row>
    <row r="81" customFormat="false" ht="15" hidden="false" customHeight="false" outlineLevel="0" collapsed="false">
      <c r="A81" s="41" t="n">
        <v>46283</v>
      </c>
      <c r="B81" s="9" t="n">
        <v>460</v>
      </c>
      <c r="C81" s="42" t="n">
        <v>6.1</v>
      </c>
      <c r="D81" s="9" t="n">
        <v>51</v>
      </c>
      <c r="E81" s="43" t="n">
        <v>0.137</v>
      </c>
      <c r="F81" s="9" t="n">
        <v>7.4</v>
      </c>
      <c r="G81" s="9" t="n">
        <v>80</v>
      </c>
      <c r="H81" s="34" t="n">
        <f aca="false">B81*C81</f>
        <v>2806</v>
      </c>
      <c r="I81" s="44" t="n">
        <f aca="false">D81*Assumptions!$B$8</f>
        <v>1020</v>
      </c>
      <c r="J81" s="44" t="n">
        <f aca="false">B81*Assumptions!$B$9/(1-E81)</f>
        <v>826.187717265353</v>
      </c>
      <c r="K81" s="44" t="n">
        <f aca="false">J81-B81*Assumptions!$B$9</f>
        <v>113.187717265353</v>
      </c>
      <c r="L81" s="44" t="n">
        <f aca="false">H81*Assumptions!$B$10</f>
        <v>84.18</v>
      </c>
      <c r="M81" s="44" t="n">
        <f aca="false">H81-I81-J81-L81-Assumptions!$B$11</f>
        <v>225.632282734647</v>
      </c>
    </row>
    <row r="82" customFormat="false" ht="15" hidden="false" customHeight="false" outlineLevel="0" collapsed="false">
      <c r="A82" s="41" t="n">
        <v>46284</v>
      </c>
      <c r="B82" s="9" t="n">
        <v>484</v>
      </c>
      <c r="C82" s="42" t="n">
        <v>5.99</v>
      </c>
      <c r="D82" s="9" t="n">
        <v>55</v>
      </c>
      <c r="E82" s="43" t="n">
        <v>0.139</v>
      </c>
      <c r="F82" s="9" t="n">
        <v>8.2</v>
      </c>
      <c r="G82" s="9" t="n">
        <v>80</v>
      </c>
      <c r="H82" s="34" t="n">
        <f aca="false">B82*C82</f>
        <v>2899.16</v>
      </c>
      <c r="I82" s="44" t="n">
        <f aca="false">D82*Assumptions!$B$8</f>
        <v>1100</v>
      </c>
      <c r="J82" s="44" t="n">
        <f aca="false">B82*Assumptions!$B$9/(1-E82)</f>
        <v>871.312427409989</v>
      </c>
      <c r="K82" s="44" t="n">
        <f aca="false">J82-B82*Assumptions!$B$9</f>
        <v>121.112427409988</v>
      </c>
      <c r="L82" s="44" t="n">
        <f aca="false">H82*Assumptions!$B$10</f>
        <v>86.9748</v>
      </c>
      <c r="M82" s="44" t="n">
        <f aca="false">H82-I82-J82-L82-Assumptions!$B$11</f>
        <v>190.872772590012</v>
      </c>
    </row>
    <row r="83" customFormat="false" ht="15" hidden="false" customHeight="false" outlineLevel="0" collapsed="false">
      <c r="A83" s="41" t="n">
        <v>46285</v>
      </c>
      <c r="B83" s="9" t="n">
        <v>486</v>
      </c>
      <c r="C83" s="42" t="n">
        <v>6.07</v>
      </c>
      <c r="D83" s="9" t="n">
        <v>55</v>
      </c>
      <c r="E83" s="43" t="n">
        <v>0.137</v>
      </c>
      <c r="F83" s="9" t="n">
        <v>7.7</v>
      </c>
      <c r="G83" s="9" t="n">
        <v>78</v>
      </c>
      <c r="H83" s="34" t="n">
        <f aca="false">B83*C83</f>
        <v>2950.02</v>
      </c>
      <c r="I83" s="44" t="n">
        <f aca="false">D83*Assumptions!$B$8</f>
        <v>1100</v>
      </c>
      <c r="J83" s="44" t="n">
        <f aca="false">B83*Assumptions!$B$9/(1-E83)</f>
        <v>872.885283893395</v>
      </c>
      <c r="K83" s="44" t="n">
        <f aca="false">J83-B83*Assumptions!$B$9</f>
        <v>119.585283893395</v>
      </c>
      <c r="L83" s="44" t="n">
        <f aca="false">H83*Assumptions!$B$10</f>
        <v>88.5006</v>
      </c>
      <c r="M83" s="44" t="n">
        <f aca="false">H83-I83-J83-L83-Assumptions!$B$11</f>
        <v>238.634116106605</v>
      </c>
    </row>
    <row r="84" customFormat="false" ht="15" hidden="false" customHeight="false" outlineLevel="0" collapsed="false">
      <c r="A84" s="41" t="n">
        <v>46286</v>
      </c>
      <c r="B84" s="9" t="n">
        <v>462</v>
      </c>
      <c r="C84" s="42" t="n">
        <v>5.98</v>
      </c>
      <c r="D84" s="9" t="n">
        <v>51</v>
      </c>
      <c r="E84" s="43" t="n">
        <v>0.138</v>
      </c>
      <c r="F84" s="9" t="n">
        <v>7.1</v>
      </c>
      <c r="G84" s="9" t="n">
        <v>78</v>
      </c>
      <c r="H84" s="34" t="n">
        <f aca="false">B84*C84</f>
        <v>2762.76</v>
      </c>
      <c r="I84" s="44" t="n">
        <f aca="false">D84*Assumptions!$B$8</f>
        <v>1020</v>
      </c>
      <c r="J84" s="44" t="n">
        <f aca="false">B84*Assumptions!$B$9/(1-E84)</f>
        <v>830.742459396752</v>
      </c>
      <c r="K84" s="44" t="n">
        <f aca="false">J84-B84*Assumptions!$B$9</f>
        <v>114.642459396752</v>
      </c>
      <c r="L84" s="44" t="n">
        <f aca="false">H84*Assumptions!$B$10</f>
        <v>82.8828</v>
      </c>
      <c r="M84" s="44" t="n">
        <f aca="false">H84-I84-J84-L84-Assumptions!$B$11</f>
        <v>179.134740603248</v>
      </c>
    </row>
    <row r="85" customFormat="false" ht="15" hidden="false" customHeight="false" outlineLevel="0" collapsed="false">
      <c r="A85" s="41" t="n">
        <v>46287</v>
      </c>
      <c r="B85" s="9" t="n">
        <v>464</v>
      </c>
      <c r="C85" s="42" t="n">
        <v>5.99</v>
      </c>
      <c r="D85" s="9" t="n">
        <v>52</v>
      </c>
      <c r="E85" s="43" t="n">
        <v>0.129</v>
      </c>
      <c r="F85" s="9" t="n">
        <v>7.1</v>
      </c>
      <c r="G85" s="9" t="n">
        <v>79</v>
      </c>
      <c r="H85" s="34" t="n">
        <f aca="false">B85*C85</f>
        <v>2779.36</v>
      </c>
      <c r="I85" s="44" t="n">
        <f aca="false">D85*Assumptions!$B$8</f>
        <v>1040</v>
      </c>
      <c r="J85" s="44" t="n">
        <f aca="false">B85*Assumptions!$B$9/(1-E85)</f>
        <v>825.717566016074</v>
      </c>
      <c r="K85" s="44" t="n">
        <f aca="false">J85-B85*Assumptions!$B$9</f>
        <v>106.517566016073</v>
      </c>
      <c r="L85" s="44" t="n">
        <f aca="false">H85*Assumptions!$B$10</f>
        <v>83.3808</v>
      </c>
      <c r="M85" s="44" t="n">
        <f aca="false">H85-I85-J85-L85-Assumptions!$B$11</f>
        <v>180.261633983927</v>
      </c>
    </row>
    <row r="86" customFormat="false" ht="15" hidden="false" customHeight="false" outlineLevel="0" collapsed="false">
      <c r="A86" s="41" t="n">
        <v>46288</v>
      </c>
      <c r="B86" s="9" t="n">
        <v>454</v>
      </c>
      <c r="C86" s="42" t="n">
        <v>6.04</v>
      </c>
      <c r="D86" s="9" t="n">
        <v>51</v>
      </c>
      <c r="E86" s="43" t="n">
        <v>0.136</v>
      </c>
      <c r="F86" s="9" t="n">
        <v>6.9</v>
      </c>
      <c r="G86" s="9" t="n">
        <v>78</v>
      </c>
      <c r="H86" s="34" t="n">
        <f aca="false">B86*C86</f>
        <v>2742.16</v>
      </c>
      <c r="I86" s="44" t="n">
        <f aca="false">D86*Assumptions!$B$8</f>
        <v>1020</v>
      </c>
      <c r="J86" s="44" t="n">
        <f aca="false">B86*Assumptions!$B$9/(1-E86)</f>
        <v>814.467592592593</v>
      </c>
      <c r="K86" s="44" t="n">
        <f aca="false">J86-B86*Assumptions!$B$9</f>
        <v>110.767592592593</v>
      </c>
      <c r="L86" s="44" t="n">
        <f aca="false">H86*Assumptions!$B$10</f>
        <v>82.2648</v>
      </c>
      <c r="M86" s="44" t="n">
        <f aca="false">H86-I86-J86-L86-Assumptions!$B$11</f>
        <v>175.427607407407</v>
      </c>
    </row>
    <row r="87" customFormat="false" ht="15" hidden="false" customHeight="false" outlineLevel="0" collapsed="false">
      <c r="A87" s="41" t="n">
        <v>46289</v>
      </c>
      <c r="B87" s="9" t="n">
        <v>459</v>
      </c>
      <c r="C87" s="42" t="n">
        <v>6</v>
      </c>
      <c r="D87" s="9" t="n">
        <v>52</v>
      </c>
      <c r="E87" s="43" t="n">
        <v>0.135</v>
      </c>
      <c r="F87" s="9" t="n">
        <v>7.5</v>
      </c>
      <c r="G87" s="9" t="n">
        <v>79</v>
      </c>
      <c r="H87" s="34" t="n">
        <f aca="false">B87*C87</f>
        <v>2754</v>
      </c>
      <c r="I87" s="44" t="n">
        <f aca="false">D87*Assumptions!$B$8</f>
        <v>1040</v>
      </c>
      <c r="J87" s="44" t="n">
        <f aca="false">B87*Assumptions!$B$9/(1-E87)</f>
        <v>822.485549132948</v>
      </c>
      <c r="K87" s="44" t="n">
        <f aca="false">J87-B87*Assumptions!$B$9</f>
        <v>111.035549132948</v>
      </c>
      <c r="L87" s="44" t="n">
        <f aca="false">H87*Assumptions!$B$10</f>
        <v>82.62</v>
      </c>
      <c r="M87" s="44" t="n">
        <f aca="false">H87-I87-J87-L87-Assumptions!$B$11</f>
        <v>158.894450867052</v>
      </c>
    </row>
    <row r="88" customFormat="false" ht="15" hidden="false" customHeight="false" outlineLevel="0" collapsed="false">
      <c r="A88" s="41" t="n">
        <v>46290</v>
      </c>
      <c r="B88" s="9" t="n">
        <v>461</v>
      </c>
      <c r="C88" s="42" t="n">
        <v>5.97</v>
      </c>
      <c r="D88" s="9" t="n">
        <v>51</v>
      </c>
      <c r="E88" s="43" t="n">
        <v>0.138</v>
      </c>
      <c r="F88" s="9" t="n">
        <v>7.7</v>
      </c>
      <c r="G88" s="9" t="n">
        <v>78</v>
      </c>
      <c r="H88" s="34" t="n">
        <f aca="false">B88*C88</f>
        <v>2752.17</v>
      </c>
      <c r="I88" s="44" t="n">
        <f aca="false">D88*Assumptions!$B$8</f>
        <v>1020</v>
      </c>
      <c r="J88" s="44" t="n">
        <f aca="false">B88*Assumptions!$B$9/(1-E88)</f>
        <v>828.944315545244</v>
      </c>
      <c r="K88" s="44" t="n">
        <f aca="false">J88-B88*Assumptions!$B$9</f>
        <v>114.394315545244</v>
      </c>
      <c r="L88" s="44" t="n">
        <f aca="false">H88*Assumptions!$B$10</f>
        <v>82.5651</v>
      </c>
      <c r="M88" s="44" t="n">
        <f aca="false">H88-I88-J88-L88-Assumptions!$B$11</f>
        <v>170.660584454756</v>
      </c>
    </row>
    <row r="89" customFormat="false" ht="15" hidden="false" customHeight="false" outlineLevel="0" collapsed="false">
      <c r="A89" s="41" t="n">
        <v>46291</v>
      </c>
      <c r="B89" s="9" t="n">
        <v>496</v>
      </c>
      <c r="C89" s="42" t="n">
        <v>6.05</v>
      </c>
      <c r="D89" s="9" t="n">
        <v>56</v>
      </c>
      <c r="E89" s="43" t="n">
        <v>0.142</v>
      </c>
      <c r="F89" s="9" t="n">
        <v>8.5</v>
      </c>
      <c r="G89" s="9" t="n">
        <v>77</v>
      </c>
      <c r="H89" s="34" t="n">
        <f aca="false">B89*C89</f>
        <v>3000.8</v>
      </c>
      <c r="I89" s="44" t="n">
        <f aca="false">D89*Assumptions!$B$8</f>
        <v>1120</v>
      </c>
      <c r="J89" s="44" t="n">
        <f aca="false">B89*Assumptions!$B$9/(1-E89)</f>
        <v>896.037296037296</v>
      </c>
      <c r="K89" s="44" t="n">
        <f aca="false">J89-B89*Assumptions!$B$9</f>
        <v>127.237296037296</v>
      </c>
      <c r="L89" s="44" t="n">
        <f aca="false">H89*Assumptions!$B$10</f>
        <v>90.024</v>
      </c>
      <c r="M89" s="44" t="n">
        <f aca="false">H89-I89-J89-L89-Assumptions!$B$11</f>
        <v>244.738703962704</v>
      </c>
    </row>
    <row r="90" customFormat="false" ht="15" hidden="false" customHeight="false" outlineLevel="0" collapsed="false">
      <c r="A90" s="41" t="n">
        <v>46292</v>
      </c>
      <c r="B90" s="9" t="n">
        <v>482</v>
      </c>
      <c r="C90" s="42" t="n">
        <v>5.97</v>
      </c>
      <c r="D90" s="9" t="n">
        <v>55</v>
      </c>
      <c r="E90" s="43" t="n">
        <v>0.142</v>
      </c>
      <c r="F90" s="9" t="n">
        <v>8.3</v>
      </c>
      <c r="G90" s="9" t="n">
        <v>77</v>
      </c>
      <c r="H90" s="34" t="n">
        <f aca="false">B90*C90</f>
        <v>2877.54</v>
      </c>
      <c r="I90" s="44" t="n">
        <f aca="false">D90*Assumptions!$B$8</f>
        <v>1100</v>
      </c>
      <c r="J90" s="44" t="n">
        <f aca="false">B90*Assumptions!$B$9/(1-E90)</f>
        <v>870.745920745921</v>
      </c>
      <c r="K90" s="44" t="n">
        <f aca="false">J90-B90*Assumptions!$B$9</f>
        <v>123.645920745921</v>
      </c>
      <c r="L90" s="44" t="n">
        <f aca="false">H90*Assumptions!$B$10</f>
        <v>86.3262</v>
      </c>
      <c r="M90" s="44" t="n">
        <f aca="false">H90-I90-J90-L90-Assumptions!$B$11</f>
        <v>170.467879254079</v>
      </c>
    </row>
    <row r="91" customFormat="false" ht="15" hidden="false" customHeight="false" outlineLevel="0" collapsed="false">
      <c r="A91" s="41" t="n">
        <v>46293</v>
      </c>
      <c r="B91" s="9" t="n">
        <v>474</v>
      </c>
      <c r="C91" s="42" t="n">
        <v>6.04</v>
      </c>
      <c r="D91" s="9" t="n">
        <v>51</v>
      </c>
      <c r="E91" s="43" t="n">
        <v>0.141</v>
      </c>
      <c r="F91" s="9" t="n">
        <v>7.7</v>
      </c>
      <c r="G91" s="9" t="n">
        <v>77</v>
      </c>
      <c r="H91" s="34" t="n">
        <f aca="false">B91*C91</f>
        <v>2862.96</v>
      </c>
      <c r="I91" s="44" t="n">
        <f aca="false">D91*Assumptions!$B$8</f>
        <v>1020</v>
      </c>
      <c r="J91" s="44" t="n">
        <f aca="false">B91*Assumptions!$B$9/(1-E91)</f>
        <v>855.296856810245</v>
      </c>
      <c r="K91" s="44" t="n">
        <f aca="false">J91-B91*Assumptions!$B$9</f>
        <v>120.596856810245</v>
      </c>
      <c r="L91" s="44" t="n">
        <f aca="false">H91*Assumptions!$B$10</f>
        <v>85.8888</v>
      </c>
      <c r="M91" s="44" t="n">
        <f aca="false">H91-I91-J91-L91-Assumptions!$B$11</f>
        <v>251.774343189755</v>
      </c>
    </row>
    <row r="92" customFormat="false" ht="15" hidden="false" customHeight="false" outlineLevel="0" collapsed="false">
      <c r="A92" s="41" t="n">
        <v>46294</v>
      </c>
      <c r="B92" s="9" t="n">
        <v>478</v>
      </c>
      <c r="C92" s="42" t="n">
        <v>6.06</v>
      </c>
      <c r="D92" s="9" t="n">
        <v>51</v>
      </c>
      <c r="E92" s="43" t="n">
        <v>0.132</v>
      </c>
      <c r="F92" s="9" t="n">
        <v>7.3</v>
      </c>
      <c r="G92" s="9" t="n">
        <v>79</v>
      </c>
      <c r="H92" s="34" t="n">
        <f aca="false">B92*C92</f>
        <v>2896.68</v>
      </c>
      <c r="I92" s="44" t="n">
        <f aca="false">D92*Assumptions!$B$8</f>
        <v>1020</v>
      </c>
      <c r="J92" s="44" t="n">
        <f aca="false">B92*Assumptions!$B$9/(1-E92)</f>
        <v>853.571428571429</v>
      </c>
      <c r="K92" s="44" t="n">
        <f aca="false">J92-B92*Assumptions!$B$9</f>
        <v>112.671428571429</v>
      </c>
      <c r="L92" s="44" t="n">
        <f aca="false">H92*Assumptions!$B$10</f>
        <v>86.9004</v>
      </c>
      <c r="M92" s="44" t="n">
        <f aca="false">H92-I92-J92-L92-Assumptions!$B$11</f>
        <v>286.208171428571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" min="1" style="0" width="18"/>
  </cols>
  <sheetData>
    <row r="1" customFormat="false" ht="19.7" hidden="false" customHeight="false" outlineLevel="0" collapsed="false">
      <c r="A1" s="1" t="s">
        <v>110</v>
      </c>
    </row>
    <row r="2" customFormat="false" ht="15" hidden="false" customHeight="false" outlineLevel="0" collapsed="false">
      <c r="A2" s="2" t="s">
        <v>111</v>
      </c>
    </row>
    <row r="4" customFormat="false" ht="30" hidden="false" customHeight="true" outlineLevel="0" collapsed="false">
      <c r="A4" s="8" t="s">
        <v>112</v>
      </c>
      <c r="B4" s="8" t="s">
        <v>113</v>
      </c>
      <c r="C4" s="8" t="s">
        <v>114</v>
      </c>
      <c r="D4" s="8" t="s">
        <v>115</v>
      </c>
      <c r="E4" s="8" t="s">
        <v>106</v>
      </c>
      <c r="F4" s="8" t="s">
        <v>116</v>
      </c>
    </row>
    <row r="5" customFormat="false" ht="15" hidden="false" customHeight="false" outlineLevel="0" collapsed="false">
      <c r="A5" s="45" t="n">
        <f aca="false">Raw_Data!A2</f>
        <v>46204</v>
      </c>
      <c r="B5" s="46" t="n">
        <f aca="false">AVERAGEIFS(Raw_Data!$B$2:$B$92,Raw_Data!$A$2:$A$92,"&gt;="&amp;A5,Raw_Data!$A$2:$A$92,"&lt;"&amp;A5+7)</f>
        <v>414.428571428571</v>
      </c>
      <c r="C5" s="44" t="n">
        <f aca="false">AVERAGEIFS(Raw_Data!$M$2:$M$92,Raw_Data!$A$2:$A$92,"&gt;="&amp;A5,Raw_Data!$A$2:$A$92,"&lt;"&amp;A5+7)</f>
        <v>289.098044871055</v>
      </c>
      <c r="D5" s="46" t="n">
        <f aca="false">AVERAGEIFS(Raw_Data!$G$2:$G$92,Raw_Data!$A$2:$A$92,"&gt;="&amp;A5,Raw_Data!$A$2:$A$92,"&lt;"&amp;A5+7)</f>
        <v>85.7142857142857</v>
      </c>
      <c r="E5" s="47" t="n">
        <f aca="false">AVERAGEIFS(Raw_Data!$F$2:$F$92,Raw_Data!$A$2:$A$92,"&gt;="&amp;A5,Raw_Data!$A$2:$A$92,"&lt;"&amp;A5+7)</f>
        <v>4.34285714285714</v>
      </c>
      <c r="F5" s="48" t="n">
        <f aca="false">AVERAGEIFS(Raw_Data!$K$2:$K$92,Raw_Data!$A$2:$A$92,"&gt;="&amp;A5,Raw_Data!$A$2:$A$92,"&lt;"&amp;A5+7)</f>
        <v>64.3325694146596</v>
      </c>
    </row>
    <row r="6" customFormat="false" ht="15" hidden="false" customHeight="false" outlineLevel="0" collapsed="false">
      <c r="A6" s="45" t="n">
        <f aca="false">A5+7</f>
        <v>46211</v>
      </c>
      <c r="B6" s="46" t="n">
        <f aca="false">AVERAGEIFS(Raw_Data!$B$2:$B$92,Raw_Data!$A$2:$A$92,"&gt;="&amp;A6,Raw_Data!$A$2:$A$92,"&lt;"&amp;A6+7)</f>
        <v>416.142857142857</v>
      </c>
      <c r="C6" s="44" t="n">
        <f aca="false">AVERAGEIFS(Raw_Data!$M$2:$M$92,Raw_Data!$A$2:$A$92,"&gt;="&amp;A6,Raw_Data!$A$2:$A$92,"&lt;"&amp;A6+7)</f>
        <v>281.227173728583</v>
      </c>
      <c r="D6" s="46" t="n">
        <f aca="false">AVERAGEIFS(Raw_Data!$G$2:$G$92,Raw_Data!$A$2:$A$92,"&gt;="&amp;A6,Raw_Data!$A$2:$A$92,"&lt;"&amp;A6+7)</f>
        <v>85.7142857142857</v>
      </c>
      <c r="E6" s="47" t="n">
        <f aca="false">AVERAGEIFS(Raw_Data!$F$2:$F$92,Raw_Data!$A$2:$A$92,"&gt;="&amp;A6,Raw_Data!$A$2:$A$92,"&lt;"&amp;A6+7)</f>
        <v>4.58571428571429</v>
      </c>
      <c r="F6" s="48" t="n">
        <f aca="false">AVERAGEIFS(Raw_Data!$K$2:$K$92,Raw_Data!$A$2:$A$92,"&gt;="&amp;A6,Raw_Data!$A$2:$A$92,"&lt;"&amp;A6+7)</f>
        <v>66.9898548428459</v>
      </c>
    </row>
    <row r="7" customFormat="false" ht="15" hidden="false" customHeight="false" outlineLevel="0" collapsed="false">
      <c r="A7" s="45" t="n">
        <f aca="false">A6+7</f>
        <v>46218</v>
      </c>
      <c r="B7" s="46" t="n">
        <f aca="false">AVERAGEIFS(Raw_Data!$B$2:$B$92,Raw_Data!$A$2:$A$92,"&gt;="&amp;A7,Raw_Data!$A$2:$A$92,"&lt;"&amp;A7+7)</f>
        <v>423.142857142857</v>
      </c>
      <c r="C7" s="44" t="n">
        <f aca="false">AVERAGEIFS(Raw_Data!$M$2:$M$92,Raw_Data!$A$2:$A$92,"&gt;="&amp;A7,Raw_Data!$A$2:$A$92,"&lt;"&amp;A7+7)</f>
        <v>284.899867213964</v>
      </c>
      <c r="D7" s="46" t="n">
        <f aca="false">AVERAGEIFS(Raw_Data!$G$2:$G$92,Raw_Data!$A$2:$A$92,"&gt;="&amp;A7,Raw_Data!$A$2:$A$92,"&lt;"&amp;A7+7)</f>
        <v>83.7142857142857</v>
      </c>
      <c r="E7" s="47" t="n">
        <f aca="false">AVERAGEIFS(Raw_Data!$F$2:$F$92,Raw_Data!$A$2:$A$92,"&gt;="&amp;A7,Raw_Data!$A$2:$A$92,"&lt;"&amp;A7+7)</f>
        <v>4.64285714285714</v>
      </c>
      <c r="F7" s="48" t="n">
        <f aca="false">AVERAGEIFS(Raw_Data!$K$2:$K$92,Raw_Data!$A$2:$A$92,"&gt;="&amp;A7,Raw_Data!$A$2:$A$92,"&lt;"&amp;A7+7)</f>
        <v>73.2530899288933</v>
      </c>
    </row>
    <row r="8" customFormat="false" ht="15" hidden="false" customHeight="false" outlineLevel="0" collapsed="false">
      <c r="A8" s="45" t="n">
        <f aca="false">A7+7</f>
        <v>46225</v>
      </c>
      <c r="B8" s="46" t="n">
        <f aca="false">AVERAGEIFS(Raw_Data!$B$2:$B$92,Raw_Data!$A$2:$A$92,"&gt;="&amp;A8,Raw_Data!$A$2:$A$92,"&lt;"&amp;A8+7)</f>
        <v>426.142857142857</v>
      </c>
      <c r="C8" s="44" t="n">
        <f aca="false">AVERAGEIFS(Raw_Data!$M$2:$M$92,Raw_Data!$A$2:$A$92,"&gt;="&amp;A8,Raw_Data!$A$2:$A$92,"&lt;"&amp;A8+7)</f>
        <v>275.798830740075</v>
      </c>
      <c r="D8" s="46" t="n">
        <f aca="false">AVERAGEIFS(Raw_Data!$G$2:$G$92,Raw_Data!$A$2:$A$92,"&gt;="&amp;A8,Raw_Data!$A$2:$A$92,"&lt;"&amp;A8+7)</f>
        <v>83.8571428571429</v>
      </c>
      <c r="E8" s="47" t="n">
        <f aca="false">AVERAGEIFS(Raw_Data!$F$2:$F$92,Raw_Data!$A$2:$A$92,"&gt;="&amp;A8,Raw_Data!$A$2:$A$92,"&lt;"&amp;A8+7)</f>
        <v>4.91428571428571</v>
      </c>
      <c r="F8" s="48" t="n">
        <f aca="false">AVERAGEIFS(Raw_Data!$K$2:$K$92,Raw_Data!$A$2:$A$92,"&gt;="&amp;A8,Raw_Data!$A$2:$A$92,"&lt;"&amp;A8+7)</f>
        <v>75.998912117068</v>
      </c>
    </row>
    <row r="9" customFormat="false" ht="15" hidden="false" customHeight="false" outlineLevel="0" collapsed="false">
      <c r="A9" s="45" t="n">
        <f aca="false">A8+7</f>
        <v>46232</v>
      </c>
      <c r="B9" s="46" t="n">
        <f aca="false">AVERAGEIFS(Raw_Data!$B$2:$B$92,Raw_Data!$A$2:$A$92,"&gt;="&amp;A9,Raw_Data!$A$2:$A$92,"&lt;"&amp;A9+7)</f>
        <v>434.285714285714</v>
      </c>
      <c r="C9" s="44" t="n">
        <f aca="false">AVERAGEIFS(Raw_Data!$M$2:$M$92,Raw_Data!$A$2:$A$92,"&gt;="&amp;A9,Raw_Data!$A$2:$A$92,"&lt;"&amp;A9+7)</f>
        <v>268.654606420591</v>
      </c>
      <c r="D9" s="46" t="n">
        <f aca="false">AVERAGEIFS(Raw_Data!$G$2:$G$92,Raw_Data!$A$2:$A$92,"&gt;="&amp;A9,Raw_Data!$A$2:$A$92,"&lt;"&amp;A9+7)</f>
        <v>83</v>
      </c>
      <c r="E9" s="47" t="n">
        <f aca="false">AVERAGEIFS(Raw_Data!$F$2:$F$92,Raw_Data!$A$2:$A$92,"&gt;="&amp;A9,Raw_Data!$A$2:$A$92,"&lt;"&amp;A9+7)</f>
        <v>5.44285714285714</v>
      </c>
      <c r="F9" s="48" t="n">
        <f aca="false">AVERAGEIFS(Raw_Data!$K$2:$K$92,Raw_Data!$A$2:$A$92,"&gt;="&amp;A9,Raw_Data!$A$2:$A$92,"&lt;"&amp;A9+7)</f>
        <v>80.7273078651233</v>
      </c>
    </row>
    <row r="10" customFormat="false" ht="15" hidden="false" customHeight="false" outlineLevel="0" collapsed="false">
      <c r="A10" s="45" t="n">
        <f aca="false">A9+7</f>
        <v>46239</v>
      </c>
      <c r="B10" s="46" t="n">
        <f aca="false">AVERAGEIFS(Raw_Data!$B$2:$B$92,Raw_Data!$A$2:$A$92,"&gt;="&amp;A10,Raw_Data!$A$2:$A$92,"&lt;"&amp;A10+7)</f>
        <v>433</v>
      </c>
      <c r="C10" s="44" t="n">
        <f aca="false">AVERAGEIFS(Raw_Data!$M$2:$M$92,Raw_Data!$A$2:$A$92,"&gt;="&amp;A10,Raw_Data!$A$2:$A$92,"&lt;"&amp;A10+7)</f>
        <v>251.101152404373</v>
      </c>
      <c r="D10" s="46" t="n">
        <f aca="false">AVERAGEIFS(Raw_Data!$G$2:$G$92,Raw_Data!$A$2:$A$92,"&gt;="&amp;A10,Raw_Data!$A$2:$A$92,"&lt;"&amp;A10+7)</f>
        <v>83.2857142857143</v>
      </c>
      <c r="E10" s="47" t="n">
        <f aca="false">AVERAGEIFS(Raw_Data!$F$2:$F$92,Raw_Data!$A$2:$A$92,"&gt;="&amp;A10,Raw_Data!$A$2:$A$92,"&lt;"&amp;A10+7)</f>
        <v>5.77142857142857</v>
      </c>
      <c r="F10" s="48" t="n">
        <f aca="false">AVERAGEIFS(Raw_Data!$K$2:$K$92,Raw_Data!$A$2:$A$92,"&gt;="&amp;A10,Raw_Data!$A$2:$A$92,"&lt;"&amp;A10+7)</f>
        <v>82.9415047384844</v>
      </c>
    </row>
    <row r="11" customFormat="false" ht="15" hidden="false" customHeight="false" outlineLevel="0" collapsed="false">
      <c r="A11" s="45" t="n">
        <f aca="false">A10+7</f>
        <v>46246</v>
      </c>
      <c r="B11" s="46" t="n">
        <f aca="false">AVERAGEIFS(Raw_Data!$B$2:$B$92,Raw_Data!$A$2:$A$92,"&gt;="&amp;A11,Raw_Data!$A$2:$A$92,"&lt;"&amp;A11+7)</f>
        <v>440.857142857143</v>
      </c>
      <c r="C11" s="44" t="n">
        <f aca="false">AVERAGEIFS(Raw_Data!$M$2:$M$92,Raw_Data!$A$2:$A$92,"&gt;="&amp;A11,Raw_Data!$A$2:$A$92,"&lt;"&amp;A11+7)</f>
        <v>238.164461865645</v>
      </c>
      <c r="D11" s="46" t="n">
        <f aca="false">AVERAGEIFS(Raw_Data!$G$2:$G$92,Raw_Data!$A$2:$A$92,"&gt;="&amp;A11,Raw_Data!$A$2:$A$92,"&lt;"&amp;A11+7)</f>
        <v>81</v>
      </c>
      <c r="E11" s="47" t="n">
        <f aca="false">AVERAGEIFS(Raw_Data!$F$2:$F$92,Raw_Data!$A$2:$A$92,"&gt;="&amp;A11,Raw_Data!$A$2:$A$92,"&lt;"&amp;A11+7)</f>
        <v>5.98571428571429</v>
      </c>
      <c r="F11" s="48" t="n">
        <f aca="false">AVERAGEIFS(Raw_Data!$K$2:$K$92,Raw_Data!$A$2:$A$92,"&gt;="&amp;A11,Raw_Data!$A$2:$A$92,"&lt;"&amp;A11+7)</f>
        <v>93.9412524200694</v>
      </c>
    </row>
    <row r="12" customFormat="false" ht="15" hidden="false" customHeight="false" outlineLevel="0" collapsed="false">
      <c r="A12" s="45" t="n">
        <f aca="false">A11+7</f>
        <v>46253</v>
      </c>
      <c r="B12" s="46" t="n">
        <f aca="false">AVERAGEIFS(Raw_Data!$B$2:$B$92,Raw_Data!$A$2:$A$92,"&gt;="&amp;A12,Raw_Data!$A$2:$A$92,"&lt;"&amp;A12+7)</f>
        <v>446.571428571429</v>
      </c>
      <c r="C12" s="44" t="n">
        <f aca="false">AVERAGEIFS(Raw_Data!$M$2:$M$92,Raw_Data!$A$2:$A$92,"&gt;="&amp;A12,Raw_Data!$A$2:$A$92,"&lt;"&amp;A12+7)</f>
        <v>241.848599508437</v>
      </c>
      <c r="D12" s="46" t="n">
        <f aca="false">AVERAGEIFS(Raw_Data!$G$2:$G$92,Raw_Data!$A$2:$A$92,"&gt;="&amp;A12,Raw_Data!$A$2:$A$92,"&lt;"&amp;A12+7)</f>
        <v>81.7142857142857</v>
      </c>
      <c r="E12" s="47" t="n">
        <f aca="false">AVERAGEIFS(Raw_Data!$F$2:$F$92,Raw_Data!$A$2:$A$92,"&gt;="&amp;A12,Raw_Data!$A$2:$A$92,"&lt;"&amp;A12+7)</f>
        <v>6.3</v>
      </c>
      <c r="F12" s="48" t="n">
        <f aca="false">AVERAGEIFS(Raw_Data!$K$2:$K$92,Raw_Data!$A$2:$A$92,"&gt;="&amp;A12,Raw_Data!$A$2:$A$92,"&lt;"&amp;A12+7)</f>
        <v>95.0680719201348</v>
      </c>
    </row>
    <row r="13" customFormat="false" ht="15" hidden="false" customHeight="false" outlineLevel="0" collapsed="false">
      <c r="A13" s="45" t="n">
        <f aca="false">A12+7</f>
        <v>46260</v>
      </c>
      <c r="B13" s="46" t="n">
        <f aca="false">AVERAGEIFS(Raw_Data!$B$2:$B$92,Raw_Data!$A$2:$A$92,"&gt;="&amp;A13,Raw_Data!$A$2:$A$92,"&lt;"&amp;A13+7)</f>
        <v>453.428571428571</v>
      </c>
      <c r="C13" s="44" t="n">
        <f aca="false">AVERAGEIFS(Raw_Data!$M$2:$M$92,Raw_Data!$A$2:$A$92,"&gt;="&amp;A13,Raw_Data!$A$2:$A$92,"&lt;"&amp;A13+7)</f>
        <v>237.299368450846</v>
      </c>
      <c r="D13" s="46" t="n">
        <f aca="false">AVERAGEIFS(Raw_Data!$G$2:$G$92,Raw_Data!$A$2:$A$92,"&gt;="&amp;A13,Raw_Data!$A$2:$A$92,"&lt;"&amp;A13+7)</f>
        <v>80.4285714285714</v>
      </c>
      <c r="E13" s="47" t="n">
        <f aca="false">AVERAGEIFS(Raw_Data!$F$2:$F$92,Raw_Data!$A$2:$A$92,"&gt;="&amp;A13,Raw_Data!$A$2:$A$92,"&lt;"&amp;A13+7)</f>
        <v>6.61428571428571</v>
      </c>
      <c r="F13" s="48" t="n">
        <f aca="false">AVERAGEIFS(Raw_Data!$K$2:$K$92,Raw_Data!$A$2:$A$92,"&gt;="&amp;A13,Raw_Data!$A$2:$A$92,"&lt;"&amp;A13+7)</f>
        <v>98.4082315491542</v>
      </c>
    </row>
    <row r="14" customFormat="false" ht="15" hidden="false" customHeight="false" outlineLevel="0" collapsed="false">
      <c r="A14" s="45" t="n">
        <f aca="false">A13+7</f>
        <v>46267</v>
      </c>
      <c r="B14" s="46" t="n">
        <f aca="false">AVERAGEIFS(Raw_Data!$B$2:$B$92,Raw_Data!$A$2:$A$92,"&gt;="&amp;A14,Raw_Data!$A$2:$A$92,"&lt;"&amp;A14+7)</f>
        <v>457.857142857143</v>
      </c>
      <c r="C14" s="44" t="n">
        <f aca="false">AVERAGEIFS(Raw_Data!$M$2:$M$92,Raw_Data!$A$2:$A$92,"&gt;="&amp;A14,Raw_Data!$A$2:$A$92,"&lt;"&amp;A14+7)</f>
        <v>228.422498901132</v>
      </c>
      <c r="D14" s="46" t="n">
        <f aca="false">AVERAGEIFS(Raw_Data!$G$2:$G$92,Raw_Data!$A$2:$A$92,"&gt;="&amp;A14,Raw_Data!$A$2:$A$92,"&lt;"&amp;A14+7)</f>
        <v>79.7142857142857</v>
      </c>
      <c r="E14" s="47" t="n">
        <f aca="false">AVERAGEIFS(Raw_Data!$F$2:$F$92,Raw_Data!$A$2:$A$92,"&gt;="&amp;A14,Raw_Data!$A$2:$A$92,"&lt;"&amp;A14+7)</f>
        <v>6.77142857142857</v>
      </c>
      <c r="F14" s="48" t="n">
        <f aca="false">AVERAGEIFS(Raw_Data!$K$2:$K$92,Raw_Data!$A$2:$A$92,"&gt;="&amp;A14,Raw_Data!$A$2:$A$92,"&lt;"&amp;A14+7)</f>
        <v>102.180286813153</v>
      </c>
    </row>
    <row r="15" customFormat="false" ht="15" hidden="false" customHeight="false" outlineLevel="0" collapsed="false">
      <c r="A15" s="45" t="n">
        <f aca="false">A14+7</f>
        <v>46274</v>
      </c>
      <c r="B15" s="46" t="n">
        <f aca="false">AVERAGEIFS(Raw_Data!$B$2:$B$92,Raw_Data!$A$2:$A$92,"&gt;="&amp;A15,Raw_Data!$A$2:$A$92,"&lt;"&amp;A15+7)</f>
        <v>466.428571428571</v>
      </c>
      <c r="C15" s="44" t="n">
        <f aca="false">AVERAGEIFS(Raw_Data!$M$2:$M$92,Raw_Data!$A$2:$A$92,"&gt;="&amp;A15,Raw_Data!$A$2:$A$92,"&lt;"&amp;A15+7)</f>
        <v>235.091468817455</v>
      </c>
      <c r="D15" s="46" t="n">
        <f aca="false">AVERAGEIFS(Raw_Data!$G$2:$G$92,Raw_Data!$A$2:$A$92,"&gt;="&amp;A15,Raw_Data!$A$2:$A$92,"&lt;"&amp;A15+7)</f>
        <v>79.8571428571429</v>
      </c>
      <c r="E15" s="47" t="n">
        <f aca="false">AVERAGEIFS(Raw_Data!$F$2:$F$92,Raw_Data!$A$2:$A$92,"&gt;="&amp;A15,Raw_Data!$A$2:$A$92,"&lt;"&amp;A15+7)</f>
        <v>6.94285714285714</v>
      </c>
      <c r="F15" s="48" t="n">
        <f aca="false">AVERAGEIFS(Raw_Data!$K$2:$K$92,Raw_Data!$A$2:$A$92,"&gt;="&amp;A15,Raw_Data!$A$2:$A$92,"&lt;"&amp;A15+7)</f>
        <v>108.794902611117</v>
      </c>
    </row>
    <row r="16" customFormat="false" ht="15" hidden="false" customHeight="false" outlineLevel="0" collapsed="false">
      <c r="A16" s="45" t="n">
        <f aca="false">A15+7</f>
        <v>46281</v>
      </c>
      <c r="B16" s="46" t="n">
        <f aca="false">AVERAGEIFS(Raw_Data!$B$2:$B$92,Raw_Data!$A$2:$A$92,"&gt;="&amp;A16,Raw_Data!$A$2:$A$92,"&lt;"&amp;A16+7)</f>
        <v>468</v>
      </c>
      <c r="C16" s="44" t="n">
        <f aca="false">AVERAGEIFS(Raw_Data!$M$2:$M$92,Raw_Data!$A$2:$A$92,"&gt;="&amp;A16,Raw_Data!$A$2:$A$92,"&lt;"&amp;A16+7)</f>
        <v>200.916437345477</v>
      </c>
      <c r="D16" s="46" t="n">
        <f aca="false">AVERAGEIFS(Raw_Data!$G$2:$G$92,Raw_Data!$A$2:$A$92,"&gt;="&amp;A16,Raw_Data!$A$2:$A$92,"&lt;"&amp;A16+7)</f>
        <v>79</v>
      </c>
      <c r="E16" s="47" t="n">
        <f aca="false">AVERAGEIFS(Raw_Data!$F$2:$F$92,Raw_Data!$A$2:$A$92,"&gt;="&amp;A16,Raw_Data!$A$2:$A$92,"&lt;"&amp;A16+7)</f>
        <v>7.32857142857143</v>
      </c>
      <c r="F16" s="48" t="n">
        <f aca="false">AVERAGEIFS(Raw_Data!$K$2:$K$92,Raw_Data!$A$2:$A$92,"&gt;="&amp;A16,Raw_Data!$A$2:$A$92,"&lt;"&amp;A16+7)</f>
        <v>112.740162654523</v>
      </c>
    </row>
    <row r="17" customFormat="false" ht="15" hidden="false" customHeight="false" outlineLevel="0" collapsed="false">
      <c r="A17" s="45" t="n">
        <f aca="false">A16+7</f>
        <v>46288</v>
      </c>
      <c r="B17" s="46" t="n">
        <f aca="false">AVERAGEIFS(Raw_Data!$B$2:$B$92,Raw_Data!$A$2:$A$92,"&gt;="&amp;A17,Raw_Data!$A$2:$A$92,"&lt;"&amp;A17+7)</f>
        <v>472</v>
      </c>
      <c r="C17" s="44" t="n">
        <f aca="false">AVERAGEIFS(Raw_Data!$M$2:$M$92,Raw_Data!$A$2:$A$92,"&gt;="&amp;A17,Raw_Data!$A$2:$A$92,"&lt;"&amp;A17+7)</f>
        <v>208.310248652046</v>
      </c>
      <c r="D17" s="46" t="n">
        <f aca="false">AVERAGEIFS(Raw_Data!$G$2:$G$92,Raw_Data!$A$2:$A$92,"&gt;="&amp;A17,Raw_Data!$A$2:$A$92,"&lt;"&amp;A17+7)</f>
        <v>77.8571428571429</v>
      </c>
      <c r="E17" s="47" t="n">
        <f aca="false">AVERAGEIFS(Raw_Data!$F$2:$F$92,Raw_Data!$A$2:$A$92,"&gt;="&amp;A17,Raw_Data!$A$2:$A$92,"&lt;"&amp;A17+7)</f>
        <v>7.7</v>
      </c>
      <c r="F17" s="48" t="n">
        <f aca="false">AVERAGEIFS(Raw_Data!$K$2:$K$92,Raw_Data!$A$2:$A$92,"&gt;="&amp;A17,Raw_Data!$A$2:$A$92,"&lt;"&amp;A17+7)</f>
        <v>117.192708490811</v>
      </c>
    </row>
    <row r="19" customFormat="false" ht="15" hidden="false" customHeight="false" outlineLevel="0" collapsed="false">
      <c r="A19" s="5" t="s">
        <v>117</v>
      </c>
      <c r="B19" s="49" t="n">
        <f aca="false">IF(B5=0,0,B17/B5-1)</f>
        <v>0.13891761461565</v>
      </c>
      <c r="C19" s="49" t="n">
        <f aca="false">IF(C5=0,0,C17/C5-1)</f>
        <v>-0.279447743256243</v>
      </c>
      <c r="D19" s="49" t="n">
        <f aca="false">IF(D5=0,0,D17/D5-1)</f>
        <v>-0.0916666666666666</v>
      </c>
      <c r="E19" s="49" t="n">
        <f aca="false">IF(E5=0,0,E17/E5-1)</f>
        <v>0.773026315789474</v>
      </c>
      <c r="F19" s="49" t="n">
        <f aca="false">IF(F5=0,0,F17/F5-1)</f>
        <v>0.821669949717658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2026-10-12T01:34:05Z</dcterms:created>
  <dc:creator>openpyxl</dc:creator>
  <dc:description/>
  <dc:language>en-US</dc:language>
  <cp:lastModifiedBy/>
  <dcterms:modified xsi:type="dcterms:W3CDTF">2026-10-12T01:34:06Z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